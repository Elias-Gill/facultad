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UNA\Desktop\Clase_IO2_7_10_2024\"/>
    </mc:Choice>
  </mc:AlternateContent>
  <xr:revisionPtr revIDLastSave="0" documentId="13_ncr:1_{294424BA-099B-4494-BA32-D3EF8142AE7D}" xr6:coauthVersionLast="47" xr6:coauthVersionMax="47" xr10:uidLastSave="{00000000-0000-0000-0000-000000000000}"/>
  <bookViews>
    <workbookView xWindow="-108" yWindow="-108" windowWidth="23256" windowHeight="12576" activeTab="3" xr2:uid="{CEB4B0B0-C43D-49A1-814E-40985BAD511B}"/>
  </bookViews>
  <sheets>
    <sheet name="Ejemplo 1" sheetId="1" r:id="rId1"/>
    <sheet name="Ejemplo 2" sheetId="2" r:id="rId2"/>
    <sheet name="Ejemplo 3" sheetId="3" r:id="rId3"/>
    <sheet name="Ejemplo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4" l="1"/>
  <c r="C31" i="4"/>
  <c r="C11" i="4"/>
  <c r="D28" i="4"/>
  <c r="D26" i="4"/>
  <c r="C16" i="3"/>
  <c r="B14" i="3"/>
  <c r="B13" i="3"/>
  <c r="C10" i="1"/>
  <c r="E42" i="1"/>
  <c r="C16" i="1"/>
  <c r="C14" i="1"/>
  <c r="C15" i="1" s="1"/>
  <c r="C13" i="1"/>
  <c r="C12" i="1"/>
  <c r="C11" i="1"/>
</calcChain>
</file>

<file path=xl/sharedStrings.xml><?xml version="1.0" encoding="utf-8"?>
<sst xmlns="http://schemas.openxmlformats.org/spreadsheetml/2006/main" count="113" uniqueCount="55">
  <si>
    <t>Parameter</t>
  </si>
  <si>
    <t>Value</t>
  </si>
  <si>
    <t>Minutes</t>
  </si>
  <si>
    <t>Seconds</t>
  </si>
  <si>
    <t>M/M/1  (exponential service times)</t>
  </si>
  <si>
    <t>Average server utilization</t>
  </si>
  <si>
    <t>Arrival rate(lambda)</t>
  </si>
  <si>
    <t>Average number in the queue(Lq)</t>
  </si>
  <si>
    <t>Service rate(mu)</t>
  </si>
  <si>
    <t>Average number in the system(L)</t>
  </si>
  <si>
    <t>Number of servers</t>
  </si>
  <si>
    <t>Average time in the queue(Wq)</t>
  </si>
  <si>
    <t>Server cost $/time</t>
  </si>
  <si>
    <t>Average time in the system(W)</t>
  </si>
  <si>
    <t>Waiting cost $/time</t>
  </si>
  <si>
    <t>Cost (Labor + # WAITING * wait cost)</t>
  </si>
  <si>
    <t>Cost (Labor + # IN SYSTEM*wait cost)</t>
  </si>
  <si>
    <t xml:space="preserve">a) El número de unidades en el sistema por hora es </t>
  </si>
  <si>
    <t>b) El tiempo que pasa un cliente en el sistema</t>
  </si>
  <si>
    <t>c) El número promedio de clientes en la cola</t>
  </si>
  <si>
    <t>d) El tiempo promedio que pasa un cliente en la fila</t>
  </si>
  <si>
    <t>e) El factor de utilización del sistema</t>
  </si>
  <si>
    <t>(el 67% del tiempo se usa el sistema)</t>
  </si>
  <si>
    <t>f) Cuál es el porcentaje del tiempo ocioso?</t>
  </si>
  <si>
    <t>(el 33% del tiempo no se usa el sistema)</t>
  </si>
  <si>
    <t>g) Probabilidad de que hayan más de tres clientes en el sistema</t>
  </si>
  <si>
    <t xml:space="preserve">k  </t>
  </si>
  <si>
    <t xml:space="preserve">Prob (num in sys = k)  </t>
  </si>
  <si>
    <t xml:space="preserve">Prob (num in sys &lt;= k)  </t>
  </si>
  <si>
    <t xml:space="preserve">Prob (num in sys &gt;k)  </t>
  </si>
  <si>
    <t>h) Costo total diario del sistema de colas, suponiendo que el taller esta en funcionamiento 8 horas al día</t>
  </si>
  <si>
    <t>Si vale la pena despedir a su actual mecánico y contratar a Servin, ya que se reduce tanto el costo de espera como el de servicio</t>
  </si>
  <si>
    <t>M/M/s</t>
  </si>
  <si>
    <t xml:space="preserve">a) </t>
  </si>
  <si>
    <t>Costo del servicio</t>
  </si>
  <si>
    <t>Costo de espera</t>
  </si>
  <si>
    <t>/hora</t>
  </si>
  <si>
    <t>Costo total general diario</t>
  </si>
  <si>
    <t>M/M/1 with a Finite System Size</t>
  </si>
  <si>
    <t>Maximum system size</t>
  </si>
  <si>
    <t>Effective arrival rate</t>
  </si>
  <si>
    <t>Probability that system is full</t>
  </si>
  <si>
    <t>a) La probabilidad de que un automóvil que llegue pase de inmediato al lavado</t>
  </si>
  <si>
    <t>P(0)</t>
  </si>
  <si>
    <t>b) El tiempo estimado de espera para que se inicie un servicio.</t>
  </si>
  <si>
    <t>c) Cantidad esperada de cajones de estacionamiento vacíos</t>
  </si>
  <si>
    <t>Cajones ocupados =</t>
  </si>
  <si>
    <t xml:space="preserve">Lq = </t>
  </si>
  <si>
    <t xml:space="preserve">Capacidad máxima = </t>
  </si>
  <si>
    <t xml:space="preserve">N = </t>
  </si>
  <si>
    <t xml:space="preserve">Cajones vacios = </t>
  </si>
  <si>
    <t>N-Lq</t>
  </si>
  <si>
    <t>d) Probabilidad de que estén ocupados todos los cajones de estacionamiento.</t>
  </si>
  <si>
    <t>P(5)</t>
  </si>
  <si>
    <t>Wq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</si>
</sst>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16" fontId="0" fillId="0" borderId="0" xfId="0" applyNumberFormat="1"/>
    <xf numFmtId="1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8ABA-C86D-4B1C-9E9D-302B9D746C5C}">
  <dimension ref="A1:G42"/>
  <sheetViews>
    <sheetView workbookViewId="0">
      <selection activeCell="D13" sqref="D13"/>
    </sheetView>
  </sheetViews>
  <sheetFormatPr baseColWidth="10" defaultRowHeight="14.4" x14ac:dyDescent="0.3"/>
  <cols>
    <col min="1" max="1" width="29.77734375" bestFit="1" customWidth="1"/>
    <col min="2" max="2" width="21.88671875" customWidth="1"/>
    <col min="3" max="3" width="19.5546875" customWidth="1"/>
    <col min="4" max="4" width="33.44140625" customWidth="1"/>
  </cols>
  <sheetData>
    <row r="1" spans="1:7" x14ac:dyDescent="0.3">
      <c r="A1" s="3" t="s">
        <v>0</v>
      </c>
      <c r="B1" s="3" t="s">
        <v>1</v>
      </c>
      <c r="C1" s="3"/>
      <c r="D1" s="3" t="s">
        <v>0</v>
      </c>
      <c r="E1" s="3" t="s">
        <v>1</v>
      </c>
      <c r="F1" s="3" t="s">
        <v>2</v>
      </c>
      <c r="G1" s="3" t="s">
        <v>3</v>
      </c>
    </row>
    <row r="2" spans="1:7" x14ac:dyDescent="0.3">
      <c r="A2" s="1" t="s">
        <v>4</v>
      </c>
      <c r="B2" s="1"/>
      <c r="C2" s="1"/>
      <c r="D2" s="1" t="s">
        <v>5</v>
      </c>
      <c r="E2" s="1">
        <v>0.67</v>
      </c>
      <c r="F2" s="1"/>
      <c r="G2" s="1"/>
    </row>
    <row r="3" spans="1:7" x14ac:dyDescent="0.3">
      <c r="A3" s="1" t="s">
        <v>6</v>
      </c>
      <c r="B3" s="1">
        <v>2</v>
      </c>
      <c r="C3" s="1"/>
      <c r="D3" s="1" t="s">
        <v>7</v>
      </c>
      <c r="E3" s="1">
        <v>1.33</v>
      </c>
      <c r="F3" s="1"/>
      <c r="G3" s="1"/>
    </row>
    <row r="4" spans="1:7" x14ac:dyDescent="0.3">
      <c r="A4" s="1" t="s">
        <v>8</v>
      </c>
      <c r="B4" s="1">
        <v>3</v>
      </c>
      <c r="C4" s="1"/>
      <c r="D4" s="1" t="s">
        <v>9</v>
      </c>
      <c r="E4" s="1">
        <v>2</v>
      </c>
      <c r="F4" s="1"/>
      <c r="G4" s="1"/>
    </row>
    <row r="5" spans="1:7" x14ac:dyDescent="0.3">
      <c r="A5" s="1" t="s">
        <v>10</v>
      </c>
      <c r="B5" s="1">
        <v>1</v>
      </c>
      <c r="C5" s="1"/>
      <c r="D5" s="1" t="s">
        <v>11</v>
      </c>
      <c r="E5" s="1">
        <v>0.67</v>
      </c>
      <c r="F5" s="1">
        <v>40</v>
      </c>
      <c r="G5" s="1">
        <v>2400</v>
      </c>
    </row>
    <row r="6" spans="1:7" x14ac:dyDescent="0.3">
      <c r="A6" s="1" t="s">
        <v>12</v>
      </c>
      <c r="B6" s="1">
        <v>15</v>
      </c>
      <c r="C6" s="1"/>
      <c r="D6" s="1" t="s">
        <v>13</v>
      </c>
      <c r="E6" s="1">
        <v>1</v>
      </c>
      <c r="F6" s="1">
        <v>60</v>
      </c>
      <c r="G6" s="1">
        <v>3600</v>
      </c>
    </row>
    <row r="7" spans="1:7" x14ac:dyDescent="0.3">
      <c r="A7" s="1" t="s">
        <v>14</v>
      </c>
      <c r="B7" s="1">
        <v>50</v>
      </c>
      <c r="C7" s="1"/>
      <c r="D7" s="1" t="s">
        <v>15</v>
      </c>
      <c r="E7" s="1">
        <v>81.67</v>
      </c>
      <c r="F7" s="1"/>
      <c r="G7" s="1"/>
    </row>
    <row r="8" spans="1:7" x14ac:dyDescent="0.3">
      <c r="A8" s="1"/>
      <c r="B8" s="1"/>
      <c r="C8" s="1"/>
      <c r="D8" s="1" t="s">
        <v>16</v>
      </c>
      <c r="E8" s="1">
        <v>115</v>
      </c>
      <c r="F8" s="1"/>
      <c r="G8" s="1"/>
    </row>
    <row r="10" spans="1:7" x14ac:dyDescent="0.3">
      <c r="A10" t="s">
        <v>17</v>
      </c>
      <c r="C10">
        <f>E4</f>
        <v>2</v>
      </c>
    </row>
    <row r="11" spans="1:7" x14ac:dyDescent="0.3">
      <c r="A11" t="s">
        <v>18</v>
      </c>
      <c r="C11">
        <f>E6</f>
        <v>1</v>
      </c>
    </row>
    <row r="12" spans="1:7" x14ac:dyDescent="0.3">
      <c r="A12" t="s">
        <v>19</v>
      </c>
      <c r="C12">
        <f>E3</f>
        <v>1.33</v>
      </c>
    </row>
    <row r="13" spans="1:7" x14ac:dyDescent="0.3">
      <c r="A13" t="s">
        <v>20</v>
      </c>
      <c r="C13">
        <f>E5</f>
        <v>0.67</v>
      </c>
    </row>
    <row r="14" spans="1:7" x14ac:dyDescent="0.3">
      <c r="A14" t="s">
        <v>21</v>
      </c>
      <c r="C14">
        <f>E2</f>
        <v>0.67</v>
      </c>
      <c r="D14" t="s">
        <v>22</v>
      </c>
    </row>
    <row r="15" spans="1:7" x14ac:dyDescent="0.3">
      <c r="A15" t="s">
        <v>23</v>
      </c>
      <c r="C15">
        <f>1-C14</f>
        <v>0.32999999999999996</v>
      </c>
      <c r="D15" t="s">
        <v>24</v>
      </c>
    </row>
    <row r="16" spans="1:7" x14ac:dyDescent="0.3">
      <c r="A16" t="s">
        <v>25</v>
      </c>
      <c r="C16">
        <f>D22</f>
        <v>0.2</v>
      </c>
    </row>
    <row r="18" spans="1:4" x14ac:dyDescent="0.3">
      <c r="A18" s="2" t="s">
        <v>26</v>
      </c>
      <c r="B18" s="2" t="s">
        <v>27</v>
      </c>
      <c r="C18" s="2" t="s">
        <v>28</v>
      </c>
      <c r="D18" s="2" t="s">
        <v>29</v>
      </c>
    </row>
    <row r="19" spans="1:4" x14ac:dyDescent="0.3">
      <c r="A19" s="2">
        <v>0</v>
      </c>
      <c r="B19" s="2">
        <v>0.33</v>
      </c>
      <c r="C19" s="2">
        <v>0.33</v>
      </c>
      <c r="D19" s="2">
        <v>0.67</v>
      </c>
    </row>
    <row r="20" spans="1:4" x14ac:dyDescent="0.3">
      <c r="A20" s="2">
        <v>1</v>
      </c>
      <c r="B20" s="2">
        <v>0.22</v>
      </c>
      <c r="C20" s="2">
        <v>0.56000000000000005</v>
      </c>
      <c r="D20" s="2">
        <v>0.44</v>
      </c>
    </row>
    <row r="21" spans="1:4" x14ac:dyDescent="0.3">
      <c r="A21" s="2">
        <v>2</v>
      </c>
      <c r="B21" s="2">
        <v>0.15</v>
      </c>
      <c r="C21" s="2">
        <v>0.7</v>
      </c>
      <c r="D21" s="2">
        <v>0.3</v>
      </c>
    </row>
    <row r="22" spans="1:4" x14ac:dyDescent="0.3">
      <c r="A22" s="4">
        <v>3</v>
      </c>
      <c r="B22" s="4">
        <v>0.1</v>
      </c>
      <c r="C22" s="4">
        <v>0.8</v>
      </c>
      <c r="D22" s="4">
        <v>0.2</v>
      </c>
    </row>
    <row r="23" spans="1:4" x14ac:dyDescent="0.3">
      <c r="A23" s="2">
        <v>4</v>
      </c>
      <c r="B23" s="2">
        <v>7.0000000000000007E-2</v>
      </c>
      <c r="C23" s="2">
        <v>0.87</v>
      </c>
      <c r="D23" s="2">
        <v>0.13</v>
      </c>
    </row>
    <row r="24" spans="1:4" x14ac:dyDescent="0.3">
      <c r="A24" s="2">
        <v>5</v>
      </c>
      <c r="B24" s="2">
        <v>0.04</v>
      </c>
      <c r="C24" s="2">
        <v>0.91</v>
      </c>
      <c r="D24" s="2">
        <v>0.09</v>
      </c>
    </row>
    <row r="25" spans="1:4" x14ac:dyDescent="0.3">
      <c r="A25" s="2">
        <v>6</v>
      </c>
      <c r="B25" s="2">
        <v>0.03</v>
      </c>
      <c r="C25" s="2">
        <v>0.94</v>
      </c>
      <c r="D25" s="2">
        <v>0.06</v>
      </c>
    </row>
    <row r="26" spans="1:4" x14ac:dyDescent="0.3">
      <c r="A26" s="2">
        <v>7</v>
      </c>
      <c r="B26" s="2">
        <v>0.02</v>
      </c>
      <c r="C26" s="2">
        <v>0.96</v>
      </c>
      <c r="D26" s="2">
        <v>0.04</v>
      </c>
    </row>
    <row r="27" spans="1:4" x14ac:dyDescent="0.3">
      <c r="A27" s="2">
        <v>8</v>
      </c>
      <c r="B27" s="2">
        <v>0.01</v>
      </c>
      <c r="C27" s="2">
        <v>0.97</v>
      </c>
      <c r="D27" s="2">
        <v>0.03</v>
      </c>
    </row>
    <row r="28" spans="1:4" x14ac:dyDescent="0.3">
      <c r="A28" s="2">
        <v>9</v>
      </c>
      <c r="B28" s="2">
        <v>0.01</v>
      </c>
      <c r="C28" s="2">
        <v>0.98</v>
      </c>
      <c r="D28" s="2">
        <v>0.02</v>
      </c>
    </row>
    <row r="29" spans="1:4" x14ac:dyDescent="0.3">
      <c r="A29" s="2">
        <v>10</v>
      </c>
      <c r="B29" s="2">
        <v>0.01</v>
      </c>
      <c r="C29" s="2">
        <v>0.99</v>
      </c>
      <c r="D29" s="2">
        <v>0.01</v>
      </c>
    </row>
    <row r="30" spans="1:4" x14ac:dyDescent="0.3">
      <c r="A30" s="2">
        <v>11</v>
      </c>
      <c r="B30" s="2">
        <v>0</v>
      </c>
      <c r="C30" s="2">
        <v>1</v>
      </c>
      <c r="D30" s="2">
        <v>0.01</v>
      </c>
    </row>
    <row r="31" spans="1:4" x14ac:dyDescent="0.3">
      <c r="A31" s="2">
        <v>12</v>
      </c>
      <c r="B31" s="2">
        <v>0</v>
      </c>
      <c r="C31" s="2">
        <v>1</v>
      </c>
      <c r="D31" s="2">
        <v>0.01</v>
      </c>
    </row>
    <row r="32" spans="1:4" x14ac:dyDescent="0.3">
      <c r="A32" s="2">
        <v>13</v>
      </c>
      <c r="B32" s="2">
        <v>0</v>
      </c>
      <c r="C32" s="2">
        <v>1</v>
      </c>
      <c r="D32" s="2">
        <v>0</v>
      </c>
    </row>
    <row r="33" spans="1:5" x14ac:dyDescent="0.3">
      <c r="A33" s="2">
        <v>14</v>
      </c>
      <c r="B33" s="2">
        <v>0</v>
      </c>
      <c r="C33" s="2">
        <v>1</v>
      </c>
      <c r="D33" s="2">
        <v>0</v>
      </c>
    </row>
    <row r="34" spans="1:5" x14ac:dyDescent="0.3">
      <c r="A34" s="2">
        <v>15</v>
      </c>
      <c r="B34" s="2">
        <v>0</v>
      </c>
      <c r="C34" s="2">
        <v>1</v>
      </c>
      <c r="D34" s="2">
        <v>0</v>
      </c>
    </row>
    <row r="35" spans="1:5" x14ac:dyDescent="0.3">
      <c r="A35" s="2">
        <v>16</v>
      </c>
      <c r="B35" s="2">
        <v>0</v>
      </c>
      <c r="C35" s="2">
        <v>1</v>
      </c>
      <c r="D35" s="2">
        <v>0</v>
      </c>
    </row>
    <row r="36" spans="1:5" x14ac:dyDescent="0.3">
      <c r="A36" s="2">
        <v>17</v>
      </c>
      <c r="B36" s="2">
        <v>0</v>
      </c>
      <c r="C36" s="2">
        <v>1</v>
      </c>
      <c r="D36" s="2">
        <v>0</v>
      </c>
    </row>
    <row r="37" spans="1:5" x14ac:dyDescent="0.3">
      <c r="A37" s="2">
        <v>18</v>
      </c>
      <c r="B37" s="2">
        <v>0</v>
      </c>
      <c r="C37" s="2">
        <v>1</v>
      </c>
      <c r="D37" s="2">
        <v>0</v>
      </c>
    </row>
    <row r="38" spans="1:5" x14ac:dyDescent="0.3">
      <c r="A38" s="2">
        <v>19</v>
      </c>
      <c r="B38" s="2">
        <v>0</v>
      </c>
      <c r="C38" s="2">
        <v>1</v>
      </c>
      <c r="D38" s="2">
        <v>0</v>
      </c>
    </row>
    <row r="39" spans="1:5" x14ac:dyDescent="0.3">
      <c r="A39" s="2">
        <v>20</v>
      </c>
      <c r="B39" s="2">
        <v>0</v>
      </c>
      <c r="C39" s="2">
        <v>1</v>
      </c>
      <c r="D39" s="2">
        <v>0</v>
      </c>
    </row>
    <row r="40" spans="1:5" x14ac:dyDescent="0.3">
      <c r="A40" s="2">
        <v>21</v>
      </c>
      <c r="B40" s="2">
        <v>0</v>
      </c>
      <c r="C40" s="2">
        <v>1</v>
      </c>
      <c r="D40" s="2">
        <v>0</v>
      </c>
    </row>
    <row r="42" spans="1:5" x14ac:dyDescent="0.3">
      <c r="A42" t="s">
        <v>30</v>
      </c>
      <c r="E42">
        <f>8*E7</f>
        <v>653.36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6EDE-5983-44E9-B41A-7B62F0906771}">
  <dimension ref="A1:G12"/>
  <sheetViews>
    <sheetView workbookViewId="0">
      <selection activeCell="A13" sqref="A13"/>
    </sheetView>
  </sheetViews>
  <sheetFormatPr baseColWidth="10" defaultRowHeight="14.4" x14ac:dyDescent="0.3"/>
  <cols>
    <col min="1" max="1" width="29.77734375" bestFit="1" customWidth="1"/>
    <col min="2" max="2" width="5.5546875" bestFit="1" customWidth="1"/>
    <col min="4" max="4" width="31.88671875" bestFit="1" customWidth="1"/>
    <col min="5" max="5" width="5.5546875" bestFit="1" customWidth="1"/>
    <col min="6" max="6" width="7.5546875" bestFit="1" customWidth="1"/>
    <col min="7" max="7" width="7.6640625" bestFit="1" customWidth="1"/>
  </cols>
  <sheetData>
    <row r="1" spans="1:7" x14ac:dyDescent="0.3">
      <c r="A1" s="5" t="s">
        <v>0</v>
      </c>
      <c r="B1" s="5" t="s">
        <v>1</v>
      </c>
      <c r="C1" s="5"/>
      <c r="D1" s="5" t="s">
        <v>0</v>
      </c>
      <c r="E1" s="5" t="s">
        <v>1</v>
      </c>
      <c r="F1" s="5" t="s">
        <v>2</v>
      </c>
      <c r="G1" s="5" t="s">
        <v>3</v>
      </c>
    </row>
    <row r="2" spans="1:7" x14ac:dyDescent="0.3">
      <c r="A2" s="1" t="s">
        <v>4</v>
      </c>
      <c r="B2" s="1"/>
      <c r="C2" s="1"/>
      <c r="D2" s="1" t="s">
        <v>5</v>
      </c>
      <c r="E2" s="1">
        <v>0.5</v>
      </c>
      <c r="F2" s="1"/>
      <c r="G2" s="1"/>
    </row>
    <row r="3" spans="1:7" x14ac:dyDescent="0.3">
      <c r="A3" s="1" t="s">
        <v>6</v>
      </c>
      <c r="B3" s="1">
        <v>2</v>
      </c>
      <c r="C3" s="1"/>
      <c r="D3" s="1" t="s">
        <v>7</v>
      </c>
      <c r="E3" s="1">
        <v>0.5</v>
      </c>
      <c r="F3" s="1"/>
      <c r="G3" s="1"/>
    </row>
    <row r="4" spans="1:7" x14ac:dyDescent="0.3">
      <c r="A4" s="1" t="s">
        <v>8</v>
      </c>
      <c r="B4" s="1">
        <v>4</v>
      </c>
      <c r="C4" s="1"/>
      <c r="D4" s="1" t="s">
        <v>9</v>
      </c>
      <c r="E4" s="1">
        <v>1</v>
      </c>
      <c r="F4" s="1"/>
      <c r="G4" s="1"/>
    </row>
    <row r="5" spans="1:7" x14ac:dyDescent="0.3">
      <c r="A5" s="1" t="s">
        <v>10</v>
      </c>
      <c r="B5" s="1">
        <v>1</v>
      </c>
      <c r="C5" s="1"/>
      <c r="D5" s="1" t="s">
        <v>11</v>
      </c>
      <c r="E5" s="1">
        <v>0.25</v>
      </c>
      <c r="F5" s="1">
        <v>15</v>
      </c>
      <c r="G5" s="1">
        <v>900</v>
      </c>
    </row>
    <row r="6" spans="1:7" x14ac:dyDescent="0.3">
      <c r="A6" s="1" t="s">
        <v>12</v>
      </c>
      <c r="B6" s="1">
        <v>20</v>
      </c>
      <c r="C6" s="1"/>
      <c r="D6" s="1" t="s">
        <v>13</v>
      </c>
      <c r="E6" s="1">
        <v>0.5</v>
      </c>
      <c r="F6" s="1">
        <v>30</v>
      </c>
      <c r="G6" s="1">
        <v>1800</v>
      </c>
    </row>
    <row r="7" spans="1:7" x14ac:dyDescent="0.3">
      <c r="A7" s="1" t="s">
        <v>14</v>
      </c>
      <c r="B7" s="1">
        <v>50</v>
      </c>
      <c r="C7" s="1"/>
      <c r="D7" s="1" t="s">
        <v>15</v>
      </c>
      <c r="E7" s="1">
        <v>45</v>
      </c>
      <c r="F7" s="1"/>
      <c r="G7" s="1"/>
    </row>
    <row r="8" spans="1:7" x14ac:dyDescent="0.3">
      <c r="A8" s="1"/>
      <c r="B8" s="1"/>
      <c r="C8" s="1"/>
      <c r="D8" s="1" t="s">
        <v>16</v>
      </c>
      <c r="E8" s="1">
        <v>70</v>
      </c>
      <c r="F8" s="1"/>
      <c r="G8" s="1"/>
    </row>
    <row r="12" spans="1:7" x14ac:dyDescent="0.3">
      <c r="A1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A54E-1D92-4D73-B996-21B45E7F71B6}">
  <dimension ref="A1:G16"/>
  <sheetViews>
    <sheetView workbookViewId="0">
      <selection activeCell="C18" sqref="C18"/>
    </sheetView>
  </sheetViews>
  <sheetFormatPr baseColWidth="10" defaultRowHeight="14.4" x14ac:dyDescent="0.3"/>
  <cols>
    <col min="1" max="1" width="17.21875" bestFit="1" customWidth="1"/>
    <col min="2" max="2" width="13.44140625" customWidth="1"/>
    <col min="4" max="4" width="31.88671875" bestFit="1" customWidth="1"/>
    <col min="5" max="5" width="6" bestFit="1" customWidth="1"/>
    <col min="6" max="6" width="7.5546875" bestFit="1" customWidth="1"/>
    <col min="7" max="7" width="7.6640625" bestFit="1" customWidth="1"/>
  </cols>
  <sheetData>
    <row r="1" spans="1:7" x14ac:dyDescent="0.3">
      <c r="A1" s="3" t="s">
        <v>0</v>
      </c>
      <c r="B1" s="3" t="s">
        <v>1</v>
      </c>
      <c r="C1" s="3"/>
      <c r="D1" s="3" t="s">
        <v>0</v>
      </c>
      <c r="E1" s="3" t="s">
        <v>1</v>
      </c>
      <c r="F1" s="3" t="s">
        <v>2</v>
      </c>
      <c r="G1" s="3" t="s">
        <v>3</v>
      </c>
    </row>
    <row r="2" spans="1:7" x14ac:dyDescent="0.3">
      <c r="A2" s="1" t="s">
        <v>32</v>
      </c>
      <c r="B2" s="1"/>
      <c r="C2" s="1"/>
      <c r="D2" s="1" t="s">
        <v>5</v>
      </c>
      <c r="E2" s="1">
        <v>0.33</v>
      </c>
      <c r="F2" s="1"/>
      <c r="G2" s="1"/>
    </row>
    <row r="3" spans="1:7" x14ac:dyDescent="0.3">
      <c r="A3" s="1" t="s">
        <v>6</v>
      </c>
      <c r="B3" s="1">
        <v>2</v>
      </c>
      <c r="C3" s="1"/>
      <c r="D3" s="1" t="s">
        <v>7</v>
      </c>
      <c r="E3" s="1">
        <v>0.08</v>
      </c>
      <c r="F3" s="1"/>
      <c r="G3" s="1"/>
    </row>
    <row r="4" spans="1:7" x14ac:dyDescent="0.3">
      <c r="A4" s="1" t="s">
        <v>8</v>
      </c>
      <c r="B4" s="1">
        <v>3</v>
      </c>
      <c r="C4" s="1"/>
      <c r="D4" s="1" t="s">
        <v>9</v>
      </c>
      <c r="E4" s="1">
        <v>0.75</v>
      </c>
      <c r="F4" s="1"/>
      <c r="G4" s="1"/>
    </row>
    <row r="5" spans="1:7" x14ac:dyDescent="0.3">
      <c r="A5" s="1" t="s">
        <v>10</v>
      </c>
      <c r="B5" s="1">
        <v>2</v>
      </c>
      <c r="C5" s="1"/>
      <c r="D5" s="1" t="s">
        <v>11</v>
      </c>
      <c r="E5" s="1">
        <v>0.04</v>
      </c>
      <c r="F5" s="1">
        <v>2.5</v>
      </c>
      <c r="G5" s="1">
        <v>150</v>
      </c>
    </row>
    <row r="6" spans="1:7" x14ac:dyDescent="0.3">
      <c r="A6" s="1" t="s">
        <v>12</v>
      </c>
      <c r="B6" s="1">
        <v>15</v>
      </c>
      <c r="C6" s="1"/>
      <c r="D6" s="1" t="s">
        <v>13</v>
      </c>
      <c r="E6" s="1">
        <v>0.38</v>
      </c>
      <c r="F6" s="1">
        <v>22.5</v>
      </c>
      <c r="G6" s="1">
        <v>1350</v>
      </c>
    </row>
    <row r="7" spans="1:7" x14ac:dyDescent="0.3">
      <c r="A7" s="1" t="s">
        <v>14</v>
      </c>
      <c r="B7" s="1">
        <v>50</v>
      </c>
      <c r="C7" s="1"/>
      <c r="D7" s="1" t="s">
        <v>15</v>
      </c>
      <c r="E7" s="1">
        <v>34.17</v>
      </c>
      <c r="F7" s="1"/>
      <c r="G7" s="1"/>
    </row>
    <row r="8" spans="1:7" x14ac:dyDescent="0.3">
      <c r="A8" s="1"/>
      <c r="B8" s="1"/>
      <c r="C8" s="1"/>
      <c r="D8" s="1" t="s">
        <v>16</v>
      </c>
      <c r="E8" s="1">
        <v>67.5</v>
      </c>
      <c r="F8" s="1"/>
      <c r="G8" s="1"/>
    </row>
    <row r="12" spans="1:7" x14ac:dyDescent="0.3">
      <c r="A12" t="s">
        <v>33</v>
      </c>
    </row>
    <row r="13" spans="1:7" x14ac:dyDescent="0.3">
      <c r="A13" t="s">
        <v>34</v>
      </c>
      <c r="B13">
        <f>2*B6</f>
        <v>30</v>
      </c>
      <c r="C13" t="s">
        <v>36</v>
      </c>
    </row>
    <row r="14" spans="1:7" x14ac:dyDescent="0.3">
      <c r="A14" t="s">
        <v>35</v>
      </c>
      <c r="B14" s="7">
        <f>2*B7*E5</f>
        <v>4</v>
      </c>
      <c r="C14" t="s">
        <v>36</v>
      </c>
    </row>
    <row r="15" spans="1:7" x14ac:dyDescent="0.3">
      <c r="D15" s="6"/>
    </row>
    <row r="16" spans="1:7" x14ac:dyDescent="0.3">
      <c r="A16" t="s">
        <v>37</v>
      </c>
      <c r="C16" s="8">
        <f>8*SUM(B13:B14)</f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CA7A-5A93-4179-A506-6ECD3B1AC44C}">
  <dimension ref="A1:G31"/>
  <sheetViews>
    <sheetView tabSelected="1" workbookViewId="0">
      <selection activeCell="B36" sqref="B36"/>
    </sheetView>
  </sheetViews>
  <sheetFormatPr baseColWidth="10" defaultRowHeight="14.4" x14ac:dyDescent="0.3"/>
  <cols>
    <col min="1" max="1" width="65.33203125" bestFit="1" customWidth="1"/>
    <col min="2" max="2" width="18.44140625" bestFit="1" customWidth="1"/>
    <col min="3" max="3" width="19.44140625" bestFit="1" customWidth="1"/>
    <col min="4" max="4" width="28" bestFit="1" customWidth="1"/>
    <col min="5" max="5" width="5.5546875" bestFit="1" customWidth="1"/>
    <col min="6" max="6" width="7.5546875" bestFit="1" customWidth="1"/>
    <col min="7" max="7" width="8" bestFit="1" customWidth="1"/>
  </cols>
  <sheetData>
    <row r="1" spans="1:7" x14ac:dyDescent="0.3">
      <c r="A1" s="2" t="s">
        <v>0</v>
      </c>
      <c r="B1" s="2" t="s">
        <v>1</v>
      </c>
      <c r="C1" s="2"/>
      <c r="D1" s="2" t="s">
        <v>0</v>
      </c>
      <c r="E1" s="2" t="s">
        <v>1</v>
      </c>
      <c r="F1" s="2" t="s">
        <v>2</v>
      </c>
      <c r="G1" s="2" t="s">
        <v>3</v>
      </c>
    </row>
    <row r="2" spans="1:7" x14ac:dyDescent="0.3">
      <c r="A2" s="1" t="s">
        <v>38</v>
      </c>
      <c r="B2" s="1"/>
      <c r="C2" s="1"/>
      <c r="D2" s="1" t="s">
        <v>5</v>
      </c>
      <c r="E2" s="1">
        <v>0.63</v>
      </c>
      <c r="F2" s="1"/>
      <c r="G2" s="1"/>
    </row>
    <row r="3" spans="1:7" x14ac:dyDescent="0.3">
      <c r="A3" s="1" t="s">
        <v>6</v>
      </c>
      <c r="B3" s="1">
        <v>4</v>
      </c>
      <c r="C3" s="1"/>
      <c r="D3" s="1" t="s">
        <v>7</v>
      </c>
      <c r="E3" s="1">
        <v>0.79</v>
      </c>
      <c r="F3" s="1"/>
      <c r="G3" s="1"/>
    </row>
    <row r="4" spans="1:7" x14ac:dyDescent="0.3">
      <c r="A4" s="1" t="s">
        <v>8</v>
      </c>
      <c r="B4" s="1">
        <v>6</v>
      </c>
      <c r="C4" s="1"/>
      <c r="D4" s="1" t="s">
        <v>9</v>
      </c>
      <c r="E4" s="1">
        <v>1.42</v>
      </c>
      <c r="F4" s="1"/>
      <c r="G4" s="1"/>
    </row>
    <row r="5" spans="1:7" x14ac:dyDescent="0.3">
      <c r="A5" s="1" t="s">
        <v>10</v>
      </c>
      <c r="B5" s="1">
        <v>1</v>
      </c>
      <c r="C5" s="1"/>
      <c r="D5" s="1" t="s">
        <v>11</v>
      </c>
      <c r="E5" s="1">
        <v>0.21</v>
      </c>
      <c r="F5" s="1">
        <v>12.42</v>
      </c>
      <c r="G5" s="1">
        <v>745.02</v>
      </c>
    </row>
    <row r="6" spans="1:7" x14ac:dyDescent="0.3">
      <c r="A6" s="1" t="s">
        <v>39</v>
      </c>
      <c r="B6" s="1">
        <v>5</v>
      </c>
      <c r="C6" s="1"/>
      <c r="D6" s="1" t="s">
        <v>13</v>
      </c>
      <c r="E6" s="1">
        <v>0.37</v>
      </c>
      <c r="F6" s="1">
        <v>22.42</v>
      </c>
      <c r="G6" s="1">
        <v>1345.02</v>
      </c>
    </row>
    <row r="7" spans="1:7" x14ac:dyDescent="0.3">
      <c r="A7" s="1"/>
      <c r="B7" s="1"/>
      <c r="C7" s="1"/>
      <c r="D7" s="1" t="s">
        <v>40</v>
      </c>
      <c r="E7" s="1">
        <v>3.81</v>
      </c>
      <c r="F7" s="1"/>
      <c r="G7" s="1"/>
    </row>
    <row r="8" spans="1:7" x14ac:dyDescent="0.3">
      <c r="A8" s="1"/>
      <c r="B8" s="1"/>
      <c r="C8" s="1"/>
      <c r="D8" s="1" t="s">
        <v>41</v>
      </c>
      <c r="E8" s="1">
        <v>0.05</v>
      </c>
      <c r="F8" s="1"/>
      <c r="G8" s="1"/>
    </row>
    <row r="11" spans="1:7" x14ac:dyDescent="0.3">
      <c r="A11" t="s">
        <v>42</v>
      </c>
      <c r="B11" t="s">
        <v>43</v>
      </c>
      <c r="C11">
        <f>B14</f>
        <v>0.37</v>
      </c>
    </row>
    <row r="13" spans="1:7" x14ac:dyDescent="0.3">
      <c r="A13" s="2" t="s">
        <v>26</v>
      </c>
      <c r="B13" s="2" t="s">
        <v>27</v>
      </c>
      <c r="C13" s="2" t="s">
        <v>28</v>
      </c>
      <c r="D13" s="2" t="s">
        <v>29</v>
      </c>
    </row>
    <row r="14" spans="1:7" x14ac:dyDescent="0.3">
      <c r="A14" s="10">
        <v>0</v>
      </c>
      <c r="B14" s="10">
        <v>0.37</v>
      </c>
      <c r="C14" s="10">
        <v>0.37</v>
      </c>
      <c r="D14" s="10">
        <v>0.63</v>
      </c>
    </row>
    <row r="15" spans="1:7" x14ac:dyDescent="0.3">
      <c r="A15" s="1">
        <v>1</v>
      </c>
      <c r="B15" s="1">
        <v>0.24</v>
      </c>
      <c r="C15" s="1">
        <v>0.61</v>
      </c>
      <c r="D15" s="1">
        <v>0.39</v>
      </c>
    </row>
    <row r="16" spans="1:7" x14ac:dyDescent="0.3">
      <c r="A16" s="1">
        <v>2</v>
      </c>
      <c r="B16" s="1">
        <v>0.16</v>
      </c>
      <c r="C16" s="1">
        <v>0.77</v>
      </c>
      <c r="D16" s="1">
        <v>0.23</v>
      </c>
    </row>
    <row r="17" spans="1:4" x14ac:dyDescent="0.3">
      <c r="A17" s="1">
        <v>3</v>
      </c>
      <c r="B17" s="1">
        <v>0.11</v>
      </c>
      <c r="C17" s="1">
        <v>0.88</v>
      </c>
      <c r="D17" s="1">
        <v>0.12</v>
      </c>
    </row>
    <row r="18" spans="1:4" x14ac:dyDescent="0.3">
      <c r="A18" s="1">
        <v>4</v>
      </c>
      <c r="B18" s="1">
        <v>7.0000000000000007E-2</v>
      </c>
      <c r="C18" s="1">
        <v>0.95</v>
      </c>
      <c r="D18" s="1">
        <v>0.05</v>
      </c>
    </row>
    <row r="19" spans="1:4" x14ac:dyDescent="0.3">
      <c r="A19" s="11">
        <v>5</v>
      </c>
      <c r="B19" s="11">
        <v>0.05</v>
      </c>
      <c r="C19" s="11">
        <v>1</v>
      </c>
      <c r="D19" s="11">
        <v>0</v>
      </c>
    </row>
    <row r="22" spans="1:4" x14ac:dyDescent="0.3">
      <c r="A22" t="s">
        <v>44</v>
      </c>
      <c r="B22" t="s">
        <v>54</v>
      </c>
      <c r="C22">
        <f>E5</f>
        <v>0.21</v>
      </c>
    </row>
    <row r="24" spans="1:4" x14ac:dyDescent="0.3">
      <c r="A24" t="s">
        <v>45</v>
      </c>
    </row>
    <row r="26" spans="1:4" x14ac:dyDescent="0.3">
      <c r="B26" t="s">
        <v>46</v>
      </c>
      <c r="C26" t="s">
        <v>47</v>
      </c>
      <c r="D26">
        <f>E3</f>
        <v>0.79</v>
      </c>
    </row>
    <row r="27" spans="1:4" x14ac:dyDescent="0.3">
      <c r="B27" t="s">
        <v>48</v>
      </c>
      <c r="C27" t="s">
        <v>49</v>
      </c>
      <c r="D27">
        <v>4</v>
      </c>
    </row>
    <row r="28" spans="1:4" x14ac:dyDescent="0.3">
      <c r="B28" t="s">
        <v>50</v>
      </c>
      <c r="C28" t="s">
        <v>51</v>
      </c>
      <c r="D28" s="9">
        <f>D27-D26</f>
        <v>3.21</v>
      </c>
    </row>
    <row r="30" spans="1:4" x14ac:dyDescent="0.3">
      <c r="A30" t="s">
        <v>52</v>
      </c>
    </row>
    <row r="31" spans="1:4" x14ac:dyDescent="0.3">
      <c r="B31" t="s">
        <v>53</v>
      </c>
      <c r="C31" s="12">
        <f>B19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Ejemplo 1</vt:lpstr>
      <vt:lpstr>Ejemplo 2</vt:lpstr>
      <vt:lpstr>Ejemplo 3</vt:lpstr>
      <vt:lpstr>Ejemplo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FPUNA</cp:lastModifiedBy>
  <dcterms:created xsi:type="dcterms:W3CDTF">2024-10-07T20:11:49Z</dcterms:created>
  <dcterms:modified xsi:type="dcterms:W3CDTF">2024-10-07T21:49:56Z</dcterms:modified>
</cp:coreProperties>
</file>