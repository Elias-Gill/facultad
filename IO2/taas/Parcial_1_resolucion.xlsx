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2"/>
  </bookViews>
  <sheets>
    <sheet name="Hoja1" sheetId="1" r:id="rId1"/>
    <sheet name="Hoja2" sheetId="2" r:id="rId2"/>
    <sheet name="Hoja3" sheetId="3" r:id="rId3"/>
  </sheets>
  <calcPr calcId="144525" iterateDelta="1E-4"/>
</workbook>
</file>

<file path=xl/calcChain.xml><?xml version="1.0" encoding="utf-8"?>
<calcChain xmlns="http://schemas.openxmlformats.org/spreadsheetml/2006/main">
  <c r="AE55" i="1" l="1"/>
  <c r="AD55" i="1"/>
  <c r="AA31" i="1" l="1"/>
  <c r="AA30" i="1"/>
  <c r="I3" i="2" l="1"/>
  <c r="J80" i="1" l="1"/>
  <c r="N78" i="1"/>
  <c r="J76" i="1"/>
  <c r="M33" i="3" l="1"/>
  <c r="M31" i="3"/>
  <c r="E31" i="3"/>
  <c r="M39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" i="2"/>
  <c r="L4" i="2"/>
  <c r="L5" i="2" s="1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L38" i="2" s="1"/>
  <c r="L3" i="2"/>
  <c r="J39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" i="2"/>
  <c r="I4" i="2"/>
  <c r="I5" i="2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G39" i="2" l="1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5" i="2"/>
  <c r="D39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5" i="2"/>
  <c r="AC45" i="1"/>
  <c r="AD45" i="1"/>
  <c r="AE45" i="1"/>
  <c r="AB45" i="1"/>
  <c r="AC44" i="1"/>
  <c r="AD44" i="1"/>
  <c r="AE44" i="1"/>
  <c r="AB44" i="1"/>
  <c r="AE43" i="1"/>
  <c r="AD43" i="1"/>
  <c r="AC43" i="1"/>
  <c r="AB43" i="1"/>
  <c r="I62" i="1"/>
  <c r="S72" i="1"/>
  <c r="S64" i="1"/>
  <c r="S56" i="1"/>
  <c r="S48" i="1"/>
  <c r="S40" i="1"/>
  <c r="S32" i="1"/>
  <c r="AA21" i="1"/>
  <c r="AA20" i="1"/>
  <c r="AA19" i="1"/>
  <c r="AA18" i="1"/>
  <c r="AA25" i="1" l="1"/>
  <c r="AD30" i="1" s="1"/>
  <c r="AA26" i="1"/>
  <c r="AD31" i="1" s="1"/>
  <c r="P72" i="1" l="1"/>
  <c r="P64" i="1"/>
  <c r="P56" i="1"/>
  <c r="P48" i="1"/>
  <c r="P40" i="1"/>
  <c r="P32" i="1"/>
  <c r="K24" i="1"/>
  <c r="K16" i="1"/>
  <c r="K8" i="1"/>
  <c r="K64" i="1" l="1"/>
  <c r="N70" i="1" s="1"/>
  <c r="K40" i="1"/>
  <c r="F16" i="1"/>
  <c r="F52" i="1" l="1"/>
  <c r="N62" i="1"/>
  <c r="N54" i="1"/>
  <c r="N30" i="1"/>
  <c r="N46" i="1"/>
  <c r="N38" i="1"/>
  <c r="I22" i="1"/>
  <c r="I14" i="1"/>
  <c r="I6" i="1"/>
  <c r="A34" i="1" l="1"/>
  <c r="D50" i="1" s="1"/>
  <c r="D14" i="1" l="1"/>
</calcChain>
</file>

<file path=xl/sharedStrings.xml><?xml version="1.0" encoding="utf-8"?>
<sst xmlns="http://schemas.openxmlformats.org/spreadsheetml/2006/main" count="109" uniqueCount="75">
  <si>
    <t>Value Measure</t>
  </si>
  <si>
    <t>U-Value</t>
  </si>
  <si>
    <t>Sin estudio</t>
  </si>
  <si>
    <t>Con estudio</t>
  </si>
  <si>
    <t>Inversión fuerte</t>
  </si>
  <si>
    <t>Inversión moderada</t>
  </si>
  <si>
    <t>Inversión mínima</t>
  </si>
  <si>
    <t>Alta demanda</t>
  </si>
  <si>
    <t>Baja demanda</t>
  </si>
  <si>
    <t>Mercado favorable</t>
  </si>
  <si>
    <t>Mercado desfavorable</t>
  </si>
  <si>
    <t>Definición de variables</t>
  </si>
  <si>
    <t>Probabilidades a priori</t>
  </si>
  <si>
    <t>P(m1)</t>
  </si>
  <si>
    <t>P(m2)</t>
  </si>
  <si>
    <t>Probabilidades condicionales P(vj/mi)</t>
  </si>
  <si>
    <t>P(v1/m1)</t>
  </si>
  <si>
    <t>P(v2/m1)</t>
  </si>
  <si>
    <t>P(v1/m2)</t>
  </si>
  <si>
    <t>P(v2/m2)</t>
  </si>
  <si>
    <t>Probabilidades conjuntas P(vj/mi)*P(mi)</t>
  </si>
  <si>
    <t>P(v1/m1)*P(m1)</t>
  </si>
  <si>
    <t>P(v2/m1)*P(m1)</t>
  </si>
  <si>
    <t>P(v1/m2)*P(m2)</t>
  </si>
  <si>
    <t>P(v2/m2)*P(m2)</t>
  </si>
  <si>
    <t>Probabilidades Absolutas</t>
  </si>
  <si>
    <t>P(v1)</t>
  </si>
  <si>
    <t>P(v2)</t>
  </si>
  <si>
    <t>Probabilidades a posteriori</t>
  </si>
  <si>
    <t>P(m1/v1)</t>
  </si>
  <si>
    <t>P(m2/v1)</t>
  </si>
  <si>
    <t>P(m1/v2)</t>
  </si>
  <si>
    <t>P(m2/v2)</t>
  </si>
  <si>
    <t>v1= Mercado favorable</t>
  </si>
  <si>
    <t>v2= Mercado desfavorable</t>
  </si>
  <si>
    <t>m1= alta demanda</t>
  </si>
  <si>
    <t>m2= baja demanda</t>
  </si>
  <si>
    <t>VEIP</t>
  </si>
  <si>
    <t>VE con estudio - VE sin estudio</t>
  </si>
  <si>
    <t>VEIM</t>
  </si>
  <si>
    <t>P=Probabilidad de baja demanda</t>
  </si>
  <si>
    <t>1-P=Probabilidad de alta demada</t>
  </si>
  <si>
    <t>Valores de P que hacen indiferente una decisión de otra</t>
  </si>
  <si>
    <t>P=4/7=0.57</t>
  </si>
  <si>
    <t>P=20/31=0.65</t>
  </si>
  <si>
    <t>P=20/27=0.74</t>
  </si>
  <si>
    <t>Valores intermedios</t>
  </si>
  <si>
    <t>500-700P</t>
  </si>
  <si>
    <t>300-350P</t>
  </si>
  <si>
    <t>100-80P</t>
  </si>
  <si>
    <t>La probabilidad de baja demanda que hace que la decisión actual sin estudi de mercado no varíe es 0&lt;=P&lt;=4/7</t>
  </si>
  <si>
    <t>P=Probabilidad de mercado favorable</t>
  </si>
  <si>
    <t>1-P=Probabilidad de mercado desfavorable</t>
  </si>
  <si>
    <t>Valores esperados</t>
  </si>
  <si>
    <t>Realizar el estudio</t>
  </si>
  <si>
    <t>No realizar el estudio</t>
  </si>
  <si>
    <t>Mes</t>
  </si>
  <si>
    <t>Ventas</t>
  </si>
  <si>
    <t>PMS(3)</t>
  </si>
  <si>
    <t>Error Abs</t>
  </si>
  <si>
    <t>DMA</t>
  </si>
  <si>
    <t>Coef. Pond</t>
  </si>
  <si>
    <t>PMP(3)</t>
  </si>
  <si>
    <t>Coef. De pond.</t>
  </si>
  <si>
    <t>Suav. Exp.                                                      Y^_(t+1)= alpha*y_t+(1-alpha)* y^_t</t>
  </si>
  <si>
    <t>Error Abs.</t>
  </si>
  <si>
    <t>Coef. De pond</t>
  </si>
  <si>
    <t>N°</t>
  </si>
  <si>
    <t>TE (Min)</t>
  </si>
  <si>
    <t>NS(1-10)</t>
  </si>
  <si>
    <t>x</t>
  </si>
  <si>
    <t>y</t>
  </si>
  <si>
    <t>la probabilidad de mercado favorable que vuelve indiferente a la empresa a optar entre realizar y no realizar el estudio de mercado es P=98.52/238.5=0.413</t>
  </si>
  <si>
    <t>238.5P+58.48</t>
  </si>
  <si>
    <t>el intervalo de probabilidad de mercado favorable según el estudio de mercado para que la decisión actual (realizar el estudio) sufra un cambio es 0&lt;=P&lt;=0.413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</si>
</sst>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D0D0D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0" fillId="0" borderId="0" xfId="0" applyNumberFormat="1" applyFont="1"/>
    <xf numFmtId="0" fontId="1" fillId="0" borderId="0" xfId="0" applyFont="1"/>
    <xf numFmtId="0" fontId="0" fillId="0" borderId="1" xfId="0" applyBorder="1"/>
    <xf numFmtId="2" fontId="0" fillId="0" borderId="1" xfId="0" applyNumberFormat="1" applyBorder="1"/>
    <xf numFmtId="164" fontId="0" fillId="0" borderId="0" xfId="0" applyNumberFormat="1" applyFont="1"/>
    <xf numFmtId="0" fontId="0" fillId="2" borderId="0" xfId="0" applyFill="1"/>
    <xf numFmtId="0" fontId="3" fillId="0" borderId="0" xfId="0" applyFont="1"/>
    <xf numFmtId="0" fontId="0" fillId="0" borderId="1" xfId="0" applyBorder="1" applyAlignment="1">
      <alignment horizontal="center"/>
    </xf>
    <xf numFmtId="0" fontId="4" fillId="3" borderId="1" xfId="0" applyFont="1" applyFill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2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PY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Hoja3!$C$1</c:f>
              <c:strCache>
                <c:ptCount val="1"/>
                <c:pt idx="0">
                  <c:v>NS(1-10)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6.4457483633572288E-2"/>
                  <c:y val="-0.30707567804024499"/>
                </c:manualLayout>
              </c:layout>
              <c:numFmt formatCode="General" sourceLinked="0"/>
            </c:trendlineLbl>
          </c:trendline>
          <c:xVal>
            <c:numRef>
              <c:f>Hoja3!$B$2:$B$31</c:f>
              <c:numCache>
                <c:formatCode>General</c:formatCode>
                <c:ptCount val="30"/>
                <c:pt idx="0">
                  <c:v>6</c:v>
                </c:pt>
                <c:pt idx="1">
                  <c:v>7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17</c:v>
                </c:pt>
                <c:pt idx="6">
                  <c:v>18</c:v>
                </c:pt>
                <c:pt idx="7">
                  <c:v>20</c:v>
                </c:pt>
                <c:pt idx="8">
                  <c:v>21</c:v>
                </c:pt>
                <c:pt idx="9">
                  <c:v>23</c:v>
                </c:pt>
                <c:pt idx="10">
                  <c:v>6</c:v>
                </c:pt>
                <c:pt idx="11">
                  <c:v>9</c:v>
                </c:pt>
                <c:pt idx="12">
                  <c:v>12</c:v>
                </c:pt>
                <c:pt idx="13">
                  <c:v>14</c:v>
                </c:pt>
                <c:pt idx="14">
                  <c:v>15</c:v>
                </c:pt>
                <c:pt idx="15">
                  <c:v>17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25</c:v>
                </c:pt>
                <c:pt idx="20">
                  <c:v>7</c:v>
                </c:pt>
                <c:pt idx="21">
                  <c:v>8</c:v>
                </c:pt>
                <c:pt idx="22">
                  <c:v>11</c:v>
                </c:pt>
                <c:pt idx="23">
                  <c:v>13</c:v>
                </c:pt>
                <c:pt idx="24">
                  <c:v>15</c:v>
                </c:pt>
                <c:pt idx="25">
                  <c:v>17</c:v>
                </c:pt>
                <c:pt idx="26">
                  <c:v>19</c:v>
                </c:pt>
                <c:pt idx="27">
                  <c:v>22</c:v>
                </c:pt>
                <c:pt idx="28">
                  <c:v>23</c:v>
                </c:pt>
                <c:pt idx="29">
                  <c:v>25</c:v>
                </c:pt>
              </c:numCache>
            </c:numRef>
          </c:xVal>
          <c:yVal>
            <c:numRef>
              <c:f>Hoja3!$C$2:$C$31</c:f>
              <c:numCache>
                <c:formatCode>General</c:formatCode>
                <c:ptCount val="30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9</c:v>
                </c:pt>
                <c:pt idx="11">
                  <c:v>8</c:v>
                </c:pt>
                <c:pt idx="12">
                  <c:v>8</c:v>
                </c:pt>
                <c:pt idx="13">
                  <c:v>7</c:v>
                </c:pt>
                <c:pt idx="14">
                  <c:v>7</c:v>
                </c:pt>
                <c:pt idx="15">
                  <c:v>6</c:v>
                </c:pt>
                <c:pt idx="16">
                  <c:v>6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9</c:v>
                </c:pt>
                <c:pt idx="21">
                  <c:v>8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6</c:v>
                </c:pt>
                <c:pt idx="26">
                  <c:v>6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2747648"/>
        <c:axId val="262749184"/>
      </c:scatterChart>
      <c:valAx>
        <c:axId val="262747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62749184"/>
        <c:crosses val="autoZero"/>
        <c:crossBetween val="midCat"/>
      </c:valAx>
      <c:valAx>
        <c:axId val="262749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274764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673100</xdr:colOff>
      <xdr:row>32</xdr:row>
      <xdr:rowOff>95250</xdr:rowOff>
    </xdr:from>
    <xdr:to>
      <xdr:col>1</xdr:col>
      <xdr:colOff>0</xdr:colOff>
      <xdr:row>32</xdr:row>
      <xdr:rowOff>95250</xdr:rowOff>
    </xdr:to>
    <xdr:cxnSp macro="">
      <xdr:nvCxnSpPr>
        <xdr:cNvPr id="2" name="Root "/>
        <xdr:cNvCxnSpPr/>
      </xdr:nvCxnSpPr>
      <xdr:spPr>
        <a:xfrm flipH="1">
          <a:off x="673100" y="857250"/>
          <a:ext cx="889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32</xdr:row>
      <xdr:rowOff>0</xdr:rowOff>
    </xdr:from>
    <xdr:to>
      <xdr:col>2</xdr:col>
      <xdr:colOff>0</xdr:colOff>
      <xdr:row>32</xdr:row>
      <xdr:rowOff>161925</xdr:rowOff>
    </xdr:to>
    <xdr:sp macro="" textlink="">
      <xdr:nvSpPr>
        <xdr:cNvPr id="3" name="TrNd "/>
        <xdr:cNvSpPr>
          <a:spLocks/>
        </xdr:cNvSpPr>
      </xdr:nvSpPr>
      <xdr:spPr>
        <a:xfrm>
          <a:off x="762000" y="762000"/>
          <a:ext cx="161925" cy="161925"/>
        </a:xfrm>
        <a:prstGeom prst="rect">
          <a:avLst/>
        </a:prstGeom>
        <a:solidFill>
          <a:srgbClr val="9999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3</xdr:col>
      <xdr:colOff>0</xdr:colOff>
      <xdr:row>14</xdr:row>
      <xdr:rowOff>95250</xdr:rowOff>
    </xdr:from>
    <xdr:to>
      <xdr:col>6</xdr:col>
      <xdr:colOff>0</xdr:colOff>
      <xdr:row>14</xdr:row>
      <xdr:rowOff>95250</xdr:rowOff>
    </xdr:to>
    <xdr:cxnSp macro="">
      <xdr:nvCxnSpPr>
        <xdr:cNvPr id="5" name="Branch 1"/>
        <xdr:cNvCxnSpPr/>
      </xdr:nvCxnSpPr>
      <xdr:spPr>
        <a:xfrm>
          <a:off x="1171575" y="857250"/>
          <a:ext cx="1343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50</xdr:row>
      <xdr:rowOff>95250</xdr:rowOff>
    </xdr:from>
    <xdr:to>
      <xdr:col>6</xdr:col>
      <xdr:colOff>0</xdr:colOff>
      <xdr:row>50</xdr:row>
      <xdr:rowOff>95250</xdr:rowOff>
    </xdr:to>
    <xdr:cxnSp macro="">
      <xdr:nvCxnSpPr>
        <xdr:cNvPr id="8" name="Branch 2"/>
        <xdr:cNvCxnSpPr/>
      </xdr:nvCxnSpPr>
      <xdr:spPr>
        <a:xfrm>
          <a:off x="1171575" y="1619250"/>
          <a:ext cx="1343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14</xdr:row>
      <xdr:rowOff>0</xdr:rowOff>
    </xdr:from>
    <xdr:to>
      <xdr:col>7</xdr:col>
      <xdr:colOff>0</xdr:colOff>
      <xdr:row>14</xdr:row>
      <xdr:rowOff>161925</xdr:rowOff>
    </xdr:to>
    <xdr:sp macro="" textlink="">
      <xdr:nvSpPr>
        <xdr:cNvPr id="10" name="TrNd 1"/>
        <xdr:cNvSpPr>
          <a:spLocks/>
        </xdr:cNvSpPr>
      </xdr:nvSpPr>
      <xdr:spPr>
        <a:xfrm>
          <a:off x="2514600" y="762000"/>
          <a:ext cx="161925" cy="161925"/>
        </a:xfrm>
        <a:prstGeom prst="rect">
          <a:avLst/>
        </a:prstGeom>
        <a:solidFill>
          <a:srgbClr val="9999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8</xdr:col>
      <xdr:colOff>0</xdr:colOff>
      <xdr:row>6</xdr:row>
      <xdr:rowOff>95250</xdr:rowOff>
    </xdr:from>
    <xdr:to>
      <xdr:col>11</xdr:col>
      <xdr:colOff>0</xdr:colOff>
      <xdr:row>6</xdr:row>
      <xdr:rowOff>95250</xdr:rowOff>
    </xdr:to>
    <xdr:cxnSp macro="">
      <xdr:nvCxnSpPr>
        <xdr:cNvPr id="14" name="Branch 11"/>
        <xdr:cNvCxnSpPr/>
      </xdr:nvCxnSpPr>
      <xdr:spPr>
        <a:xfrm>
          <a:off x="2924175" y="857250"/>
          <a:ext cx="1343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14</xdr:row>
      <xdr:rowOff>95250</xdr:rowOff>
    </xdr:from>
    <xdr:to>
      <xdr:col>11</xdr:col>
      <xdr:colOff>0</xdr:colOff>
      <xdr:row>14</xdr:row>
      <xdr:rowOff>95250</xdr:rowOff>
    </xdr:to>
    <xdr:cxnSp macro="">
      <xdr:nvCxnSpPr>
        <xdr:cNvPr id="17" name="Branch 12"/>
        <xdr:cNvCxnSpPr/>
      </xdr:nvCxnSpPr>
      <xdr:spPr>
        <a:xfrm>
          <a:off x="2924175" y="1619250"/>
          <a:ext cx="1343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22</xdr:row>
      <xdr:rowOff>95250</xdr:rowOff>
    </xdr:from>
    <xdr:to>
      <xdr:col>11</xdr:col>
      <xdr:colOff>0</xdr:colOff>
      <xdr:row>22</xdr:row>
      <xdr:rowOff>95250</xdr:rowOff>
    </xdr:to>
    <xdr:cxnSp macro="">
      <xdr:nvCxnSpPr>
        <xdr:cNvPr id="21" name="Branch 13"/>
        <xdr:cNvCxnSpPr/>
      </xdr:nvCxnSpPr>
      <xdr:spPr>
        <a:xfrm>
          <a:off x="2924175" y="2381250"/>
          <a:ext cx="1343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6</xdr:row>
      <xdr:rowOff>0</xdr:rowOff>
    </xdr:from>
    <xdr:to>
      <xdr:col>12</xdr:col>
      <xdr:colOff>0</xdr:colOff>
      <xdr:row>6</xdr:row>
      <xdr:rowOff>161925</xdr:rowOff>
    </xdr:to>
    <xdr:sp macro="" textlink="">
      <xdr:nvSpPr>
        <xdr:cNvPr id="28" name="TrNd 11"/>
        <xdr:cNvSpPr>
          <a:spLocks/>
        </xdr:cNvSpPr>
      </xdr:nvSpPr>
      <xdr:spPr>
        <a:xfrm>
          <a:off x="4267200" y="762000"/>
          <a:ext cx="161925" cy="161925"/>
        </a:xfrm>
        <a:prstGeom prst="ellipse">
          <a:avLst/>
        </a:prstGeom>
        <a:solidFill>
          <a:srgbClr val="008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12</xdr:col>
      <xdr:colOff>0</xdr:colOff>
      <xdr:row>4</xdr:row>
      <xdr:rowOff>95250</xdr:rowOff>
    </xdr:from>
    <xdr:to>
      <xdr:col>13</xdr:col>
      <xdr:colOff>0</xdr:colOff>
      <xdr:row>6</xdr:row>
      <xdr:rowOff>95250</xdr:rowOff>
    </xdr:to>
    <xdr:cxnSp macro="">
      <xdr:nvCxnSpPr>
        <xdr:cNvPr id="34" name="FBranch 111"/>
        <xdr:cNvCxnSpPr/>
      </xdr:nvCxnSpPr>
      <xdr:spPr>
        <a:xfrm flipV="1">
          <a:off x="4429125" y="857250"/>
          <a:ext cx="247650" cy="381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4</xdr:row>
      <xdr:rowOff>95250</xdr:rowOff>
    </xdr:from>
    <xdr:to>
      <xdr:col>16</xdr:col>
      <xdr:colOff>0</xdr:colOff>
      <xdr:row>4</xdr:row>
      <xdr:rowOff>95250</xdr:rowOff>
    </xdr:to>
    <xdr:cxnSp macro="">
      <xdr:nvCxnSpPr>
        <xdr:cNvPr id="35" name="Branch 111"/>
        <xdr:cNvCxnSpPr/>
      </xdr:nvCxnSpPr>
      <xdr:spPr>
        <a:xfrm>
          <a:off x="4676775" y="857250"/>
          <a:ext cx="1343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4</xdr:row>
      <xdr:rowOff>23813</xdr:rowOff>
    </xdr:from>
    <xdr:to>
      <xdr:col>21</xdr:col>
      <xdr:colOff>0</xdr:colOff>
      <xdr:row>4</xdr:row>
      <xdr:rowOff>166688</xdr:rowOff>
    </xdr:to>
    <xdr:cxnSp macro="">
      <xdr:nvCxnSpPr>
        <xdr:cNvPr id="36" name="Leaf 111"/>
        <xdr:cNvCxnSpPr/>
      </xdr:nvCxnSpPr>
      <xdr:spPr>
        <a:xfrm>
          <a:off x="7772400" y="785813"/>
          <a:ext cx="0" cy="142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6</xdr:row>
      <xdr:rowOff>95250</xdr:rowOff>
    </xdr:from>
    <xdr:to>
      <xdr:col>13</xdr:col>
      <xdr:colOff>0</xdr:colOff>
      <xdr:row>8</xdr:row>
      <xdr:rowOff>95250</xdr:rowOff>
    </xdr:to>
    <xdr:cxnSp macro="">
      <xdr:nvCxnSpPr>
        <xdr:cNvPr id="37" name="FBranch 112"/>
        <xdr:cNvCxnSpPr/>
      </xdr:nvCxnSpPr>
      <xdr:spPr>
        <a:xfrm>
          <a:off x="4429125" y="1238250"/>
          <a:ext cx="247650" cy="381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8</xdr:row>
      <xdr:rowOff>95250</xdr:rowOff>
    </xdr:from>
    <xdr:to>
      <xdr:col>16</xdr:col>
      <xdr:colOff>0</xdr:colOff>
      <xdr:row>8</xdr:row>
      <xdr:rowOff>95250</xdr:rowOff>
    </xdr:to>
    <xdr:cxnSp macro="">
      <xdr:nvCxnSpPr>
        <xdr:cNvPr id="38" name="Branch 112"/>
        <xdr:cNvCxnSpPr/>
      </xdr:nvCxnSpPr>
      <xdr:spPr>
        <a:xfrm>
          <a:off x="4676775" y="1619250"/>
          <a:ext cx="1343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8</xdr:row>
      <xdr:rowOff>23813</xdr:rowOff>
    </xdr:from>
    <xdr:to>
      <xdr:col>21</xdr:col>
      <xdr:colOff>0</xdr:colOff>
      <xdr:row>8</xdr:row>
      <xdr:rowOff>166688</xdr:rowOff>
    </xdr:to>
    <xdr:cxnSp macro="">
      <xdr:nvCxnSpPr>
        <xdr:cNvPr id="39" name="Leaf 112"/>
        <xdr:cNvCxnSpPr/>
      </xdr:nvCxnSpPr>
      <xdr:spPr>
        <a:xfrm>
          <a:off x="7772400" y="1547813"/>
          <a:ext cx="0" cy="142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</xdr:row>
      <xdr:rowOff>0</xdr:rowOff>
    </xdr:from>
    <xdr:to>
      <xdr:col>12</xdr:col>
      <xdr:colOff>0</xdr:colOff>
      <xdr:row>14</xdr:row>
      <xdr:rowOff>161925</xdr:rowOff>
    </xdr:to>
    <xdr:sp macro="" textlink="">
      <xdr:nvSpPr>
        <xdr:cNvPr id="42" name="TrNd 12"/>
        <xdr:cNvSpPr>
          <a:spLocks/>
        </xdr:cNvSpPr>
      </xdr:nvSpPr>
      <xdr:spPr>
        <a:xfrm>
          <a:off x="4267200" y="2286000"/>
          <a:ext cx="161925" cy="161925"/>
        </a:xfrm>
        <a:prstGeom prst="ellipse">
          <a:avLst/>
        </a:prstGeom>
        <a:solidFill>
          <a:srgbClr val="008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12</xdr:col>
      <xdr:colOff>0</xdr:colOff>
      <xdr:row>12</xdr:row>
      <xdr:rowOff>95250</xdr:rowOff>
    </xdr:from>
    <xdr:to>
      <xdr:col>13</xdr:col>
      <xdr:colOff>0</xdr:colOff>
      <xdr:row>14</xdr:row>
      <xdr:rowOff>95250</xdr:rowOff>
    </xdr:to>
    <xdr:cxnSp macro="">
      <xdr:nvCxnSpPr>
        <xdr:cNvPr id="48" name="FBranch 121"/>
        <xdr:cNvCxnSpPr/>
      </xdr:nvCxnSpPr>
      <xdr:spPr>
        <a:xfrm flipV="1">
          <a:off x="4429125" y="2381250"/>
          <a:ext cx="247650" cy="381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12</xdr:row>
      <xdr:rowOff>95250</xdr:rowOff>
    </xdr:from>
    <xdr:to>
      <xdr:col>16</xdr:col>
      <xdr:colOff>0</xdr:colOff>
      <xdr:row>12</xdr:row>
      <xdr:rowOff>95250</xdr:rowOff>
    </xdr:to>
    <xdr:cxnSp macro="">
      <xdr:nvCxnSpPr>
        <xdr:cNvPr id="49" name="Branch 121"/>
        <xdr:cNvCxnSpPr/>
      </xdr:nvCxnSpPr>
      <xdr:spPr>
        <a:xfrm>
          <a:off x="4676775" y="2381250"/>
          <a:ext cx="1343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12</xdr:row>
      <xdr:rowOff>23813</xdr:rowOff>
    </xdr:from>
    <xdr:to>
      <xdr:col>21</xdr:col>
      <xdr:colOff>0</xdr:colOff>
      <xdr:row>12</xdr:row>
      <xdr:rowOff>166688</xdr:rowOff>
    </xdr:to>
    <xdr:cxnSp macro="">
      <xdr:nvCxnSpPr>
        <xdr:cNvPr id="50" name="Leaf 121"/>
        <xdr:cNvCxnSpPr/>
      </xdr:nvCxnSpPr>
      <xdr:spPr>
        <a:xfrm>
          <a:off x="7772400" y="2309813"/>
          <a:ext cx="0" cy="142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14</xdr:row>
      <xdr:rowOff>95250</xdr:rowOff>
    </xdr:from>
    <xdr:to>
      <xdr:col>13</xdr:col>
      <xdr:colOff>0</xdr:colOff>
      <xdr:row>16</xdr:row>
      <xdr:rowOff>95250</xdr:rowOff>
    </xdr:to>
    <xdr:cxnSp macro="">
      <xdr:nvCxnSpPr>
        <xdr:cNvPr id="51" name="FBranch 122"/>
        <xdr:cNvCxnSpPr/>
      </xdr:nvCxnSpPr>
      <xdr:spPr>
        <a:xfrm>
          <a:off x="4429125" y="2762250"/>
          <a:ext cx="247650" cy="381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16</xdr:row>
      <xdr:rowOff>95250</xdr:rowOff>
    </xdr:from>
    <xdr:to>
      <xdr:col>16</xdr:col>
      <xdr:colOff>0</xdr:colOff>
      <xdr:row>16</xdr:row>
      <xdr:rowOff>95250</xdr:rowOff>
    </xdr:to>
    <xdr:cxnSp macro="">
      <xdr:nvCxnSpPr>
        <xdr:cNvPr id="52" name="Branch 122"/>
        <xdr:cNvCxnSpPr/>
      </xdr:nvCxnSpPr>
      <xdr:spPr>
        <a:xfrm>
          <a:off x="4676775" y="3143250"/>
          <a:ext cx="1343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16</xdr:row>
      <xdr:rowOff>23813</xdr:rowOff>
    </xdr:from>
    <xdr:to>
      <xdr:col>21</xdr:col>
      <xdr:colOff>0</xdr:colOff>
      <xdr:row>16</xdr:row>
      <xdr:rowOff>166688</xdr:rowOff>
    </xdr:to>
    <xdr:cxnSp macro="">
      <xdr:nvCxnSpPr>
        <xdr:cNvPr id="53" name="Leaf 122"/>
        <xdr:cNvCxnSpPr/>
      </xdr:nvCxnSpPr>
      <xdr:spPr>
        <a:xfrm>
          <a:off x="7772400" y="3071813"/>
          <a:ext cx="0" cy="142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22</xdr:row>
      <xdr:rowOff>0</xdr:rowOff>
    </xdr:from>
    <xdr:to>
      <xdr:col>12</xdr:col>
      <xdr:colOff>0</xdr:colOff>
      <xdr:row>22</xdr:row>
      <xdr:rowOff>161925</xdr:rowOff>
    </xdr:to>
    <xdr:sp macro="" textlink="">
      <xdr:nvSpPr>
        <xdr:cNvPr id="54" name="TrNd 13"/>
        <xdr:cNvSpPr>
          <a:spLocks/>
        </xdr:cNvSpPr>
      </xdr:nvSpPr>
      <xdr:spPr>
        <a:xfrm>
          <a:off x="4267200" y="3810000"/>
          <a:ext cx="161925" cy="161925"/>
        </a:xfrm>
        <a:prstGeom prst="ellipse">
          <a:avLst/>
        </a:prstGeom>
        <a:solidFill>
          <a:srgbClr val="008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7</xdr:col>
      <xdr:colOff>0</xdr:colOff>
      <xdr:row>6</xdr:row>
      <xdr:rowOff>95250</xdr:rowOff>
    </xdr:from>
    <xdr:to>
      <xdr:col>8</xdr:col>
      <xdr:colOff>0</xdr:colOff>
      <xdr:row>14</xdr:row>
      <xdr:rowOff>80963</xdr:rowOff>
    </xdr:to>
    <xdr:cxnSp macro="">
      <xdr:nvCxnSpPr>
        <xdr:cNvPr id="55" name="FBranch 11"/>
        <xdr:cNvCxnSpPr/>
      </xdr:nvCxnSpPr>
      <xdr:spPr>
        <a:xfrm flipV="1">
          <a:off x="2676525" y="1238250"/>
          <a:ext cx="247650" cy="150971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14</xdr:row>
      <xdr:rowOff>80963</xdr:rowOff>
    </xdr:from>
    <xdr:to>
      <xdr:col>8</xdr:col>
      <xdr:colOff>0</xdr:colOff>
      <xdr:row>14</xdr:row>
      <xdr:rowOff>95250</xdr:rowOff>
    </xdr:to>
    <xdr:cxnSp macro="">
      <xdr:nvCxnSpPr>
        <xdr:cNvPr id="56" name="FBranch 12"/>
        <xdr:cNvCxnSpPr/>
      </xdr:nvCxnSpPr>
      <xdr:spPr>
        <a:xfrm>
          <a:off x="2676525" y="2747963"/>
          <a:ext cx="247650" cy="1428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14</xdr:row>
      <xdr:rowOff>80963</xdr:rowOff>
    </xdr:from>
    <xdr:to>
      <xdr:col>8</xdr:col>
      <xdr:colOff>0</xdr:colOff>
      <xdr:row>22</xdr:row>
      <xdr:rowOff>95250</xdr:rowOff>
    </xdr:to>
    <xdr:cxnSp macro="">
      <xdr:nvCxnSpPr>
        <xdr:cNvPr id="57" name="FBranch 13"/>
        <xdr:cNvCxnSpPr/>
      </xdr:nvCxnSpPr>
      <xdr:spPr>
        <a:xfrm>
          <a:off x="2676525" y="2747963"/>
          <a:ext cx="247650" cy="153828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20</xdr:row>
      <xdr:rowOff>95250</xdr:rowOff>
    </xdr:from>
    <xdr:to>
      <xdr:col>13</xdr:col>
      <xdr:colOff>0</xdr:colOff>
      <xdr:row>22</xdr:row>
      <xdr:rowOff>95250</xdr:rowOff>
    </xdr:to>
    <xdr:cxnSp macro="">
      <xdr:nvCxnSpPr>
        <xdr:cNvPr id="60" name="FBranch 131"/>
        <xdr:cNvCxnSpPr/>
      </xdr:nvCxnSpPr>
      <xdr:spPr>
        <a:xfrm flipV="1">
          <a:off x="4429125" y="3905250"/>
          <a:ext cx="247650" cy="381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20</xdr:row>
      <xdr:rowOff>95250</xdr:rowOff>
    </xdr:from>
    <xdr:to>
      <xdr:col>16</xdr:col>
      <xdr:colOff>0</xdr:colOff>
      <xdr:row>20</xdr:row>
      <xdr:rowOff>95250</xdr:rowOff>
    </xdr:to>
    <xdr:cxnSp macro="">
      <xdr:nvCxnSpPr>
        <xdr:cNvPr id="61" name="Branch 131"/>
        <xdr:cNvCxnSpPr/>
      </xdr:nvCxnSpPr>
      <xdr:spPr>
        <a:xfrm>
          <a:off x="4676775" y="3905250"/>
          <a:ext cx="1343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20</xdr:row>
      <xdr:rowOff>23813</xdr:rowOff>
    </xdr:from>
    <xdr:to>
      <xdr:col>21</xdr:col>
      <xdr:colOff>0</xdr:colOff>
      <xdr:row>20</xdr:row>
      <xdr:rowOff>166688</xdr:rowOff>
    </xdr:to>
    <xdr:cxnSp macro="">
      <xdr:nvCxnSpPr>
        <xdr:cNvPr id="62" name="Leaf 131"/>
        <xdr:cNvCxnSpPr/>
      </xdr:nvCxnSpPr>
      <xdr:spPr>
        <a:xfrm>
          <a:off x="7772400" y="3833813"/>
          <a:ext cx="0" cy="142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22</xdr:row>
      <xdr:rowOff>95250</xdr:rowOff>
    </xdr:from>
    <xdr:to>
      <xdr:col>13</xdr:col>
      <xdr:colOff>0</xdr:colOff>
      <xdr:row>24</xdr:row>
      <xdr:rowOff>95250</xdr:rowOff>
    </xdr:to>
    <xdr:cxnSp macro="">
      <xdr:nvCxnSpPr>
        <xdr:cNvPr id="63" name="FBranch 132"/>
        <xdr:cNvCxnSpPr/>
      </xdr:nvCxnSpPr>
      <xdr:spPr>
        <a:xfrm>
          <a:off x="4429125" y="4286250"/>
          <a:ext cx="247650" cy="381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24</xdr:row>
      <xdr:rowOff>95250</xdr:rowOff>
    </xdr:from>
    <xdr:to>
      <xdr:col>16</xdr:col>
      <xdr:colOff>0</xdr:colOff>
      <xdr:row>24</xdr:row>
      <xdr:rowOff>95250</xdr:rowOff>
    </xdr:to>
    <xdr:cxnSp macro="">
      <xdr:nvCxnSpPr>
        <xdr:cNvPr id="64" name="Branch 132"/>
        <xdr:cNvCxnSpPr/>
      </xdr:nvCxnSpPr>
      <xdr:spPr>
        <a:xfrm>
          <a:off x="4676775" y="4667250"/>
          <a:ext cx="1343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24</xdr:row>
      <xdr:rowOff>23813</xdr:rowOff>
    </xdr:from>
    <xdr:to>
      <xdr:col>21</xdr:col>
      <xdr:colOff>0</xdr:colOff>
      <xdr:row>24</xdr:row>
      <xdr:rowOff>166688</xdr:rowOff>
    </xdr:to>
    <xdr:cxnSp macro="">
      <xdr:nvCxnSpPr>
        <xdr:cNvPr id="65" name="Leaf 132"/>
        <xdr:cNvCxnSpPr/>
      </xdr:nvCxnSpPr>
      <xdr:spPr>
        <a:xfrm>
          <a:off x="7772400" y="4595813"/>
          <a:ext cx="0" cy="142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50</xdr:row>
      <xdr:rowOff>0</xdr:rowOff>
    </xdr:from>
    <xdr:to>
      <xdr:col>7</xdr:col>
      <xdr:colOff>0</xdr:colOff>
      <xdr:row>50</xdr:row>
      <xdr:rowOff>161925</xdr:rowOff>
    </xdr:to>
    <xdr:sp macro="" textlink="">
      <xdr:nvSpPr>
        <xdr:cNvPr id="66" name="TrNd 2"/>
        <xdr:cNvSpPr>
          <a:spLocks/>
        </xdr:cNvSpPr>
      </xdr:nvSpPr>
      <xdr:spPr>
        <a:xfrm>
          <a:off x="2514600" y="5334000"/>
          <a:ext cx="161925" cy="161925"/>
        </a:xfrm>
        <a:prstGeom prst="ellipse">
          <a:avLst/>
        </a:prstGeom>
        <a:solidFill>
          <a:srgbClr val="008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8</xdr:col>
      <xdr:colOff>0</xdr:colOff>
      <xdr:row>38</xdr:row>
      <xdr:rowOff>95250</xdr:rowOff>
    </xdr:from>
    <xdr:to>
      <xdr:col>11</xdr:col>
      <xdr:colOff>0</xdr:colOff>
      <xdr:row>38</xdr:row>
      <xdr:rowOff>95250</xdr:rowOff>
    </xdr:to>
    <xdr:cxnSp macro="">
      <xdr:nvCxnSpPr>
        <xdr:cNvPr id="70" name="Branch 21"/>
        <xdr:cNvCxnSpPr/>
      </xdr:nvCxnSpPr>
      <xdr:spPr>
        <a:xfrm>
          <a:off x="2924175" y="5429250"/>
          <a:ext cx="1343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62</xdr:row>
      <xdr:rowOff>95250</xdr:rowOff>
    </xdr:from>
    <xdr:to>
      <xdr:col>11</xdr:col>
      <xdr:colOff>0</xdr:colOff>
      <xdr:row>62</xdr:row>
      <xdr:rowOff>95250</xdr:rowOff>
    </xdr:to>
    <xdr:cxnSp macro="">
      <xdr:nvCxnSpPr>
        <xdr:cNvPr id="73" name="Branch 22"/>
        <xdr:cNvCxnSpPr/>
      </xdr:nvCxnSpPr>
      <xdr:spPr>
        <a:xfrm>
          <a:off x="2924175" y="6191250"/>
          <a:ext cx="1343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38</xdr:row>
      <xdr:rowOff>0</xdr:rowOff>
    </xdr:from>
    <xdr:to>
      <xdr:col>12</xdr:col>
      <xdr:colOff>0</xdr:colOff>
      <xdr:row>38</xdr:row>
      <xdr:rowOff>161925</xdr:rowOff>
    </xdr:to>
    <xdr:sp macro="" textlink="">
      <xdr:nvSpPr>
        <xdr:cNvPr id="77" name="TrNd 21"/>
        <xdr:cNvSpPr>
          <a:spLocks/>
        </xdr:cNvSpPr>
      </xdr:nvSpPr>
      <xdr:spPr>
        <a:xfrm>
          <a:off x="4267200" y="5334000"/>
          <a:ext cx="161925" cy="161925"/>
        </a:xfrm>
        <a:prstGeom prst="rect">
          <a:avLst/>
        </a:prstGeom>
        <a:solidFill>
          <a:srgbClr val="9999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13</xdr:col>
      <xdr:colOff>0</xdr:colOff>
      <xdr:row>30</xdr:row>
      <xdr:rowOff>95250</xdr:rowOff>
    </xdr:from>
    <xdr:to>
      <xdr:col>16</xdr:col>
      <xdr:colOff>0</xdr:colOff>
      <xdr:row>30</xdr:row>
      <xdr:rowOff>95250</xdr:rowOff>
    </xdr:to>
    <xdr:cxnSp macro="">
      <xdr:nvCxnSpPr>
        <xdr:cNvPr id="83" name="Branch 211"/>
        <xdr:cNvCxnSpPr/>
      </xdr:nvCxnSpPr>
      <xdr:spPr>
        <a:xfrm>
          <a:off x="4676775" y="5429250"/>
          <a:ext cx="1343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38</xdr:row>
      <xdr:rowOff>95250</xdr:rowOff>
    </xdr:from>
    <xdr:to>
      <xdr:col>16</xdr:col>
      <xdr:colOff>0</xdr:colOff>
      <xdr:row>38</xdr:row>
      <xdr:rowOff>95250</xdr:rowOff>
    </xdr:to>
    <xdr:cxnSp macro="">
      <xdr:nvCxnSpPr>
        <xdr:cNvPr id="86" name="Branch 212"/>
        <xdr:cNvCxnSpPr/>
      </xdr:nvCxnSpPr>
      <xdr:spPr>
        <a:xfrm>
          <a:off x="4676775" y="6191250"/>
          <a:ext cx="1343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46</xdr:row>
      <xdr:rowOff>95250</xdr:rowOff>
    </xdr:from>
    <xdr:to>
      <xdr:col>16</xdr:col>
      <xdr:colOff>0</xdr:colOff>
      <xdr:row>46</xdr:row>
      <xdr:rowOff>95250</xdr:rowOff>
    </xdr:to>
    <xdr:cxnSp macro="">
      <xdr:nvCxnSpPr>
        <xdr:cNvPr id="89" name="Branch 213"/>
        <xdr:cNvCxnSpPr/>
      </xdr:nvCxnSpPr>
      <xdr:spPr>
        <a:xfrm>
          <a:off x="4676775" y="6953250"/>
          <a:ext cx="1343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30</xdr:row>
      <xdr:rowOff>0</xdr:rowOff>
    </xdr:from>
    <xdr:to>
      <xdr:col>17</xdr:col>
      <xdr:colOff>0</xdr:colOff>
      <xdr:row>30</xdr:row>
      <xdr:rowOff>161925</xdr:rowOff>
    </xdr:to>
    <xdr:sp macro="" textlink="">
      <xdr:nvSpPr>
        <xdr:cNvPr id="98" name="TrNd 211"/>
        <xdr:cNvSpPr>
          <a:spLocks/>
        </xdr:cNvSpPr>
      </xdr:nvSpPr>
      <xdr:spPr>
        <a:xfrm>
          <a:off x="6019800" y="5334000"/>
          <a:ext cx="161925" cy="161925"/>
        </a:xfrm>
        <a:prstGeom prst="ellipse">
          <a:avLst/>
        </a:prstGeom>
        <a:solidFill>
          <a:srgbClr val="008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17</xdr:col>
      <xdr:colOff>0</xdr:colOff>
      <xdr:row>28</xdr:row>
      <xdr:rowOff>95250</xdr:rowOff>
    </xdr:from>
    <xdr:to>
      <xdr:col>18</xdr:col>
      <xdr:colOff>0</xdr:colOff>
      <xdr:row>30</xdr:row>
      <xdr:rowOff>95250</xdr:rowOff>
    </xdr:to>
    <xdr:cxnSp macro="">
      <xdr:nvCxnSpPr>
        <xdr:cNvPr id="106" name="FBranch 2111"/>
        <xdr:cNvCxnSpPr/>
      </xdr:nvCxnSpPr>
      <xdr:spPr>
        <a:xfrm flipV="1">
          <a:off x="6181725" y="5429250"/>
          <a:ext cx="247650" cy="381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28</xdr:row>
      <xdr:rowOff>95250</xdr:rowOff>
    </xdr:from>
    <xdr:to>
      <xdr:col>21</xdr:col>
      <xdr:colOff>0</xdr:colOff>
      <xdr:row>28</xdr:row>
      <xdr:rowOff>95250</xdr:rowOff>
    </xdr:to>
    <xdr:cxnSp macro="">
      <xdr:nvCxnSpPr>
        <xdr:cNvPr id="107" name="Branch 2111"/>
        <xdr:cNvCxnSpPr/>
      </xdr:nvCxnSpPr>
      <xdr:spPr>
        <a:xfrm>
          <a:off x="6429375" y="5429250"/>
          <a:ext cx="1343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28</xdr:row>
      <xdr:rowOff>23813</xdr:rowOff>
    </xdr:from>
    <xdr:to>
      <xdr:col>21</xdr:col>
      <xdr:colOff>0</xdr:colOff>
      <xdr:row>28</xdr:row>
      <xdr:rowOff>166688</xdr:rowOff>
    </xdr:to>
    <xdr:cxnSp macro="">
      <xdr:nvCxnSpPr>
        <xdr:cNvPr id="108" name="Leaf 2111"/>
        <xdr:cNvCxnSpPr/>
      </xdr:nvCxnSpPr>
      <xdr:spPr>
        <a:xfrm>
          <a:off x="7772400" y="5357813"/>
          <a:ext cx="0" cy="142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30</xdr:row>
      <xdr:rowOff>95250</xdr:rowOff>
    </xdr:from>
    <xdr:to>
      <xdr:col>18</xdr:col>
      <xdr:colOff>0</xdr:colOff>
      <xdr:row>32</xdr:row>
      <xdr:rowOff>95250</xdr:rowOff>
    </xdr:to>
    <xdr:cxnSp macro="">
      <xdr:nvCxnSpPr>
        <xdr:cNvPr id="109" name="FBranch 2112"/>
        <xdr:cNvCxnSpPr/>
      </xdr:nvCxnSpPr>
      <xdr:spPr>
        <a:xfrm>
          <a:off x="6181725" y="5810250"/>
          <a:ext cx="247650" cy="381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32</xdr:row>
      <xdr:rowOff>95250</xdr:rowOff>
    </xdr:from>
    <xdr:to>
      <xdr:col>21</xdr:col>
      <xdr:colOff>0</xdr:colOff>
      <xdr:row>32</xdr:row>
      <xdr:rowOff>95250</xdr:rowOff>
    </xdr:to>
    <xdr:cxnSp macro="">
      <xdr:nvCxnSpPr>
        <xdr:cNvPr id="110" name="Branch 2112"/>
        <xdr:cNvCxnSpPr/>
      </xdr:nvCxnSpPr>
      <xdr:spPr>
        <a:xfrm>
          <a:off x="6429375" y="6191250"/>
          <a:ext cx="1343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32</xdr:row>
      <xdr:rowOff>23813</xdr:rowOff>
    </xdr:from>
    <xdr:to>
      <xdr:col>21</xdr:col>
      <xdr:colOff>0</xdr:colOff>
      <xdr:row>32</xdr:row>
      <xdr:rowOff>166688</xdr:rowOff>
    </xdr:to>
    <xdr:cxnSp macro="">
      <xdr:nvCxnSpPr>
        <xdr:cNvPr id="111" name="Leaf 2112"/>
        <xdr:cNvCxnSpPr/>
      </xdr:nvCxnSpPr>
      <xdr:spPr>
        <a:xfrm>
          <a:off x="7772400" y="6119813"/>
          <a:ext cx="0" cy="142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4</xdr:row>
      <xdr:rowOff>95250</xdr:rowOff>
    </xdr:from>
    <xdr:to>
      <xdr:col>21</xdr:col>
      <xdr:colOff>0</xdr:colOff>
      <xdr:row>4</xdr:row>
      <xdr:rowOff>95250</xdr:rowOff>
    </xdr:to>
    <xdr:cxnSp macro="">
      <xdr:nvCxnSpPr>
        <xdr:cNvPr id="112" name="XBranch 111"/>
        <xdr:cNvCxnSpPr/>
      </xdr:nvCxnSpPr>
      <xdr:spPr>
        <a:xfrm>
          <a:off x="6019800" y="857250"/>
          <a:ext cx="17526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8</xdr:row>
      <xdr:rowOff>95250</xdr:rowOff>
    </xdr:from>
    <xdr:to>
      <xdr:col>21</xdr:col>
      <xdr:colOff>0</xdr:colOff>
      <xdr:row>8</xdr:row>
      <xdr:rowOff>95250</xdr:rowOff>
    </xdr:to>
    <xdr:cxnSp macro="">
      <xdr:nvCxnSpPr>
        <xdr:cNvPr id="113" name="XBranch 112"/>
        <xdr:cNvCxnSpPr/>
      </xdr:nvCxnSpPr>
      <xdr:spPr>
        <a:xfrm>
          <a:off x="6019800" y="1619250"/>
          <a:ext cx="17526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12</xdr:row>
      <xdr:rowOff>95250</xdr:rowOff>
    </xdr:from>
    <xdr:to>
      <xdr:col>21</xdr:col>
      <xdr:colOff>0</xdr:colOff>
      <xdr:row>12</xdr:row>
      <xdr:rowOff>95250</xdr:rowOff>
    </xdr:to>
    <xdr:cxnSp macro="">
      <xdr:nvCxnSpPr>
        <xdr:cNvPr id="114" name="XBranch 121"/>
        <xdr:cNvCxnSpPr/>
      </xdr:nvCxnSpPr>
      <xdr:spPr>
        <a:xfrm>
          <a:off x="6019800" y="2381250"/>
          <a:ext cx="17526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16</xdr:row>
      <xdr:rowOff>95250</xdr:rowOff>
    </xdr:from>
    <xdr:to>
      <xdr:col>21</xdr:col>
      <xdr:colOff>0</xdr:colOff>
      <xdr:row>16</xdr:row>
      <xdr:rowOff>95250</xdr:rowOff>
    </xdr:to>
    <xdr:cxnSp macro="">
      <xdr:nvCxnSpPr>
        <xdr:cNvPr id="115" name="XBranch 122"/>
        <xdr:cNvCxnSpPr/>
      </xdr:nvCxnSpPr>
      <xdr:spPr>
        <a:xfrm>
          <a:off x="6019800" y="3143250"/>
          <a:ext cx="17526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20</xdr:row>
      <xdr:rowOff>95250</xdr:rowOff>
    </xdr:from>
    <xdr:to>
      <xdr:col>21</xdr:col>
      <xdr:colOff>0</xdr:colOff>
      <xdr:row>20</xdr:row>
      <xdr:rowOff>95250</xdr:rowOff>
    </xdr:to>
    <xdr:cxnSp macro="">
      <xdr:nvCxnSpPr>
        <xdr:cNvPr id="116" name="XBranch 131"/>
        <xdr:cNvCxnSpPr/>
      </xdr:nvCxnSpPr>
      <xdr:spPr>
        <a:xfrm>
          <a:off x="6019800" y="3905250"/>
          <a:ext cx="17526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24</xdr:row>
      <xdr:rowOff>95250</xdr:rowOff>
    </xdr:from>
    <xdr:to>
      <xdr:col>21</xdr:col>
      <xdr:colOff>0</xdr:colOff>
      <xdr:row>24</xdr:row>
      <xdr:rowOff>95250</xdr:rowOff>
    </xdr:to>
    <xdr:cxnSp macro="">
      <xdr:nvCxnSpPr>
        <xdr:cNvPr id="117" name="XBranch 132"/>
        <xdr:cNvCxnSpPr/>
      </xdr:nvCxnSpPr>
      <xdr:spPr>
        <a:xfrm>
          <a:off x="6019800" y="4667250"/>
          <a:ext cx="17526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0</xdr:colOff>
      <xdr:row>38</xdr:row>
      <xdr:rowOff>161925</xdr:rowOff>
    </xdr:to>
    <xdr:sp macro="" textlink="">
      <xdr:nvSpPr>
        <xdr:cNvPr id="120" name="TrNd 212"/>
        <xdr:cNvSpPr>
          <a:spLocks/>
        </xdr:cNvSpPr>
      </xdr:nvSpPr>
      <xdr:spPr>
        <a:xfrm>
          <a:off x="6019800" y="6858000"/>
          <a:ext cx="161925" cy="161925"/>
        </a:xfrm>
        <a:prstGeom prst="ellipse">
          <a:avLst/>
        </a:prstGeom>
        <a:solidFill>
          <a:srgbClr val="008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17</xdr:col>
      <xdr:colOff>0</xdr:colOff>
      <xdr:row>36</xdr:row>
      <xdr:rowOff>95250</xdr:rowOff>
    </xdr:from>
    <xdr:to>
      <xdr:col>18</xdr:col>
      <xdr:colOff>0</xdr:colOff>
      <xdr:row>38</xdr:row>
      <xdr:rowOff>95250</xdr:rowOff>
    </xdr:to>
    <xdr:cxnSp macro="">
      <xdr:nvCxnSpPr>
        <xdr:cNvPr id="128" name="FBranch 2121"/>
        <xdr:cNvCxnSpPr/>
      </xdr:nvCxnSpPr>
      <xdr:spPr>
        <a:xfrm flipV="1">
          <a:off x="6181725" y="6953250"/>
          <a:ext cx="247650" cy="381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36</xdr:row>
      <xdr:rowOff>95250</xdr:rowOff>
    </xdr:from>
    <xdr:to>
      <xdr:col>21</xdr:col>
      <xdr:colOff>0</xdr:colOff>
      <xdr:row>36</xdr:row>
      <xdr:rowOff>95250</xdr:rowOff>
    </xdr:to>
    <xdr:cxnSp macro="">
      <xdr:nvCxnSpPr>
        <xdr:cNvPr id="129" name="Branch 2121"/>
        <xdr:cNvCxnSpPr/>
      </xdr:nvCxnSpPr>
      <xdr:spPr>
        <a:xfrm>
          <a:off x="6429375" y="6953250"/>
          <a:ext cx="1343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36</xdr:row>
      <xdr:rowOff>23813</xdr:rowOff>
    </xdr:from>
    <xdr:to>
      <xdr:col>21</xdr:col>
      <xdr:colOff>0</xdr:colOff>
      <xdr:row>36</xdr:row>
      <xdr:rowOff>166688</xdr:rowOff>
    </xdr:to>
    <xdr:cxnSp macro="">
      <xdr:nvCxnSpPr>
        <xdr:cNvPr id="130" name="Leaf 2121"/>
        <xdr:cNvCxnSpPr/>
      </xdr:nvCxnSpPr>
      <xdr:spPr>
        <a:xfrm>
          <a:off x="7772400" y="6881813"/>
          <a:ext cx="0" cy="142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38</xdr:row>
      <xdr:rowOff>95250</xdr:rowOff>
    </xdr:from>
    <xdr:to>
      <xdr:col>18</xdr:col>
      <xdr:colOff>0</xdr:colOff>
      <xdr:row>40</xdr:row>
      <xdr:rowOff>95250</xdr:rowOff>
    </xdr:to>
    <xdr:cxnSp macro="">
      <xdr:nvCxnSpPr>
        <xdr:cNvPr id="131" name="FBranch 2122"/>
        <xdr:cNvCxnSpPr/>
      </xdr:nvCxnSpPr>
      <xdr:spPr>
        <a:xfrm>
          <a:off x="6181725" y="7334250"/>
          <a:ext cx="247650" cy="381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40</xdr:row>
      <xdr:rowOff>95250</xdr:rowOff>
    </xdr:from>
    <xdr:to>
      <xdr:col>21</xdr:col>
      <xdr:colOff>0</xdr:colOff>
      <xdr:row>40</xdr:row>
      <xdr:rowOff>95250</xdr:rowOff>
    </xdr:to>
    <xdr:cxnSp macro="">
      <xdr:nvCxnSpPr>
        <xdr:cNvPr id="132" name="Branch 2122"/>
        <xdr:cNvCxnSpPr/>
      </xdr:nvCxnSpPr>
      <xdr:spPr>
        <a:xfrm>
          <a:off x="6429375" y="7715250"/>
          <a:ext cx="1343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40</xdr:row>
      <xdr:rowOff>23813</xdr:rowOff>
    </xdr:from>
    <xdr:to>
      <xdr:col>21</xdr:col>
      <xdr:colOff>0</xdr:colOff>
      <xdr:row>40</xdr:row>
      <xdr:rowOff>166688</xdr:rowOff>
    </xdr:to>
    <xdr:cxnSp macro="">
      <xdr:nvCxnSpPr>
        <xdr:cNvPr id="133" name="Leaf 2122"/>
        <xdr:cNvCxnSpPr/>
      </xdr:nvCxnSpPr>
      <xdr:spPr>
        <a:xfrm>
          <a:off x="7772400" y="7643813"/>
          <a:ext cx="0" cy="142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46</xdr:row>
      <xdr:rowOff>0</xdr:rowOff>
    </xdr:from>
    <xdr:to>
      <xdr:col>17</xdr:col>
      <xdr:colOff>0</xdr:colOff>
      <xdr:row>46</xdr:row>
      <xdr:rowOff>161925</xdr:rowOff>
    </xdr:to>
    <xdr:sp macro="" textlink="">
      <xdr:nvSpPr>
        <xdr:cNvPr id="134" name="TrNd 213"/>
        <xdr:cNvSpPr>
          <a:spLocks/>
        </xdr:cNvSpPr>
      </xdr:nvSpPr>
      <xdr:spPr>
        <a:xfrm>
          <a:off x="6019800" y="8382000"/>
          <a:ext cx="161925" cy="161925"/>
        </a:xfrm>
        <a:prstGeom prst="ellipse">
          <a:avLst/>
        </a:prstGeom>
        <a:solidFill>
          <a:srgbClr val="008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12</xdr:col>
      <xdr:colOff>0</xdr:colOff>
      <xdr:row>30</xdr:row>
      <xdr:rowOff>95250</xdr:rowOff>
    </xdr:from>
    <xdr:to>
      <xdr:col>13</xdr:col>
      <xdr:colOff>0</xdr:colOff>
      <xdr:row>38</xdr:row>
      <xdr:rowOff>80963</xdr:rowOff>
    </xdr:to>
    <xdr:cxnSp macro="">
      <xdr:nvCxnSpPr>
        <xdr:cNvPr id="135" name="FBranch 211"/>
        <xdr:cNvCxnSpPr/>
      </xdr:nvCxnSpPr>
      <xdr:spPr>
        <a:xfrm flipV="1">
          <a:off x="4429125" y="5810250"/>
          <a:ext cx="247650" cy="150971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38</xdr:row>
      <xdr:rowOff>80963</xdr:rowOff>
    </xdr:from>
    <xdr:to>
      <xdr:col>13</xdr:col>
      <xdr:colOff>0</xdr:colOff>
      <xdr:row>38</xdr:row>
      <xdr:rowOff>95250</xdr:rowOff>
    </xdr:to>
    <xdr:cxnSp macro="">
      <xdr:nvCxnSpPr>
        <xdr:cNvPr id="136" name="FBranch 212"/>
        <xdr:cNvCxnSpPr/>
      </xdr:nvCxnSpPr>
      <xdr:spPr>
        <a:xfrm>
          <a:off x="4429125" y="7319963"/>
          <a:ext cx="247650" cy="1428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38</xdr:row>
      <xdr:rowOff>80963</xdr:rowOff>
    </xdr:from>
    <xdr:to>
      <xdr:col>13</xdr:col>
      <xdr:colOff>0</xdr:colOff>
      <xdr:row>46</xdr:row>
      <xdr:rowOff>95250</xdr:rowOff>
    </xdr:to>
    <xdr:cxnSp macro="">
      <xdr:nvCxnSpPr>
        <xdr:cNvPr id="137" name="FBranch 213"/>
        <xdr:cNvCxnSpPr/>
      </xdr:nvCxnSpPr>
      <xdr:spPr>
        <a:xfrm>
          <a:off x="4429125" y="7319963"/>
          <a:ext cx="247650" cy="153828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44</xdr:row>
      <xdr:rowOff>95250</xdr:rowOff>
    </xdr:from>
    <xdr:to>
      <xdr:col>18</xdr:col>
      <xdr:colOff>0</xdr:colOff>
      <xdr:row>46</xdr:row>
      <xdr:rowOff>95250</xdr:rowOff>
    </xdr:to>
    <xdr:cxnSp macro="">
      <xdr:nvCxnSpPr>
        <xdr:cNvPr id="140" name="FBranch 2131"/>
        <xdr:cNvCxnSpPr/>
      </xdr:nvCxnSpPr>
      <xdr:spPr>
        <a:xfrm flipV="1">
          <a:off x="6181725" y="8477250"/>
          <a:ext cx="247650" cy="381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44</xdr:row>
      <xdr:rowOff>95250</xdr:rowOff>
    </xdr:from>
    <xdr:to>
      <xdr:col>21</xdr:col>
      <xdr:colOff>0</xdr:colOff>
      <xdr:row>44</xdr:row>
      <xdr:rowOff>95250</xdr:rowOff>
    </xdr:to>
    <xdr:cxnSp macro="">
      <xdr:nvCxnSpPr>
        <xdr:cNvPr id="141" name="Branch 2131"/>
        <xdr:cNvCxnSpPr/>
      </xdr:nvCxnSpPr>
      <xdr:spPr>
        <a:xfrm>
          <a:off x="6429375" y="8477250"/>
          <a:ext cx="1343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44</xdr:row>
      <xdr:rowOff>23813</xdr:rowOff>
    </xdr:from>
    <xdr:to>
      <xdr:col>21</xdr:col>
      <xdr:colOff>0</xdr:colOff>
      <xdr:row>44</xdr:row>
      <xdr:rowOff>166688</xdr:rowOff>
    </xdr:to>
    <xdr:cxnSp macro="">
      <xdr:nvCxnSpPr>
        <xdr:cNvPr id="142" name="Leaf 2131"/>
        <xdr:cNvCxnSpPr/>
      </xdr:nvCxnSpPr>
      <xdr:spPr>
        <a:xfrm>
          <a:off x="7772400" y="8405813"/>
          <a:ext cx="0" cy="142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46</xdr:row>
      <xdr:rowOff>95250</xdr:rowOff>
    </xdr:from>
    <xdr:to>
      <xdr:col>18</xdr:col>
      <xdr:colOff>0</xdr:colOff>
      <xdr:row>48</xdr:row>
      <xdr:rowOff>95250</xdr:rowOff>
    </xdr:to>
    <xdr:cxnSp macro="">
      <xdr:nvCxnSpPr>
        <xdr:cNvPr id="143" name="FBranch 2132"/>
        <xdr:cNvCxnSpPr/>
      </xdr:nvCxnSpPr>
      <xdr:spPr>
        <a:xfrm>
          <a:off x="6181725" y="8858250"/>
          <a:ext cx="247650" cy="381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48</xdr:row>
      <xdr:rowOff>95250</xdr:rowOff>
    </xdr:from>
    <xdr:to>
      <xdr:col>21</xdr:col>
      <xdr:colOff>0</xdr:colOff>
      <xdr:row>48</xdr:row>
      <xdr:rowOff>95250</xdr:rowOff>
    </xdr:to>
    <xdr:cxnSp macro="">
      <xdr:nvCxnSpPr>
        <xdr:cNvPr id="144" name="Branch 2132"/>
        <xdr:cNvCxnSpPr/>
      </xdr:nvCxnSpPr>
      <xdr:spPr>
        <a:xfrm>
          <a:off x="6429375" y="9239250"/>
          <a:ext cx="1343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48</xdr:row>
      <xdr:rowOff>23813</xdr:rowOff>
    </xdr:from>
    <xdr:to>
      <xdr:col>21</xdr:col>
      <xdr:colOff>0</xdr:colOff>
      <xdr:row>48</xdr:row>
      <xdr:rowOff>166688</xdr:rowOff>
    </xdr:to>
    <xdr:cxnSp macro="">
      <xdr:nvCxnSpPr>
        <xdr:cNvPr id="145" name="Leaf 2132"/>
        <xdr:cNvCxnSpPr/>
      </xdr:nvCxnSpPr>
      <xdr:spPr>
        <a:xfrm>
          <a:off x="7772400" y="9167813"/>
          <a:ext cx="0" cy="142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62</xdr:row>
      <xdr:rowOff>0</xdr:rowOff>
    </xdr:from>
    <xdr:to>
      <xdr:col>12</xdr:col>
      <xdr:colOff>0</xdr:colOff>
      <xdr:row>62</xdr:row>
      <xdr:rowOff>161925</xdr:rowOff>
    </xdr:to>
    <xdr:sp macro="" textlink="">
      <xdr:nvSpPr>
        <xdr:cNvPr id="146" name="TrNd 22"/>
        <xdr:cNvSpPr>
          <a:spLocks/>
        </xdr:cNvSpPr>
      </xdr:nvSpPr>
      <xdr:spPr>
        <a:xfrm>
          <a:off x="4267200" y="9906000"/>
          <a:ext cx="161925" cy="161925"/>
        </a:xfrm>
        <a:prstGeom prst="rect">
          <a:avLst/>
        </a:prstGeom>
        <a:solidFill>
          <a:srgbClr val="9999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13</xdr:col>
      <xdr:colOff>0</xdr:colOff>
      <xdr:row>54</xdr:row>
      <xdr:rowOff>95250</xdr:rowOff>
    </xdr:from>
    <xdr:to>
      <xdr:col>16</xdr:col>
      <xdr:colOff>0</xdr:colOff>
      <xdr:row>54</xdr:row>
      <xdr:rowOff>95250</xdr:rowOff>
    </xdr:to>
    <xdr:cxnSp macro="">
      <xdr:nvCxnSpPr>
        <xdr:cNvPr id="152" name="Branch 221"/>
        <xdr:cNvCxnSpPr/>
      </xdr:nvCxnSpPr>
      <xdr:spPr>
        <a:xfrm>
          <a:off x="4676775" y="10001250"/>
          <a:ext cx="1343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62</xdr:row>
      <xdr:rowOff>95250</xdr:rowOff>
    </xdr:from>
    <xdr:to>
      <xdr:col>16</xdr:col>
      <xdr:colOff>0</xdr:colOff>
      <xdr:row>62</xdr:row>
      <xdr:rowOff>95250</xdr:rowOff>
    </xdr:to>
    <xdr:cxnSp macro="">
      <xdr:nvCxnSpPr>
        <xdr:cNvPr id="155" name="Branch 222"/>
        <xdr:cNvCxnSpPr/>
      </xdr:nvCxnSpPr>
      <xdr:spPr>
        <a:xfrm>
          <a:off x="4676775" y="10763250"/>
          <a:ext cx="1343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70</xdr:row>
      <xdr:rowOff>95250</xdr:rowOff>
    </xdr:from>
    <xdr:to>
      <xdr:col>16</xdr:col>
      <xdr:colOff>0</xdr:colOff>
      <xdr:row>70</xdr:row>
      <xdr:rowOff>95250</xdr:rowOff>
    </xdr:to>
    <xdr:cxnSp macro="">
      <xdr:nvCxnSpPr>
        <xdr:cNvPr id="160" name="Branch 223"/>
        <xdr:cNvCxnSpPr/>
      </xdr:nvCxnSpPr>
      <xdr:spPr>
        <a:xfrm>
          <a:off x="4676775" y="11525250"/>
          <a:ext cx="1343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54</xdr:row>
      <xdr:rowOff>0</xdr:rowOff>
    </xdr:from>
    <xdr:to>
      <xdr:col>17</xdr:col>
      <xdr:colOff>0</xdr:colOff>
      <xdr:row>54</xdr:row>
      <xdr:rowOff>161925</xdr:rowOff>
    </xdr:to>
    <xdr:sp macro="" textlink="">
      <xdr:nvSpPr>
        <xdr:cNvPr id="170" name="TrNd 221"/>
        <xdr:cNvSpPr>
          <a:spLocks/>
        </xdr:cNvSpPr>
      </xdr:nvSpPr>
      <xdr:spPr>
        <a:xfrm>
          <a:off x="6019800" y="9906000"/>
          <a:ext cx="161925" cy="161925"/>
        </a:xfrm>
        <a:prstGeom prst="ellipse">
          <a:avLst/>
        </a:prstGeom>
        <a:solidFill>
          <a:srgbClr val="008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17</xdr:col>
      <xdr:colOff>0</xdr:colOff>
      <xdr:row>52</xdr:row>
      <xdr:rowOff>95250</xdr:rowOff>
    </xdr:from>
    <xdr:to>
      <xdr:col>18</xdr:col>
      <xdr:colOff>0</xdr:colOff>
      <xdr:row>54</xdr:row>
      <xdr:rowOff>95250</xdr:rowOff>
    </xdr:to>
    <xdr:cxnSp macro="">
      <xdr:nvCxnSpPr>
        <xdr:cNvPr id="176" name="FBranch 2211"/>
        <xdr:cNvCxnSpPr/>
      </xdr:nvCxnSpPr>
      <xdr:spPr>
        <a:xfrm flipV="1">
          <a:off x="6181725" y="10001250"/>
          <a:ext cx="247650" cy="381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52</xdr:row>
      <xdr:rowOff>95250</xdr:rowOff>
    </xdr:from>
    <xdr:to>
      <xdr:col>21</xdr:col>
      <xdr:colOff>0</xdr:colOff>
      <xdr:row>52</xdr:row>
      <xdr:rowOff>95250</xdr:rowOff>
    </xdr:to>
    <xdr:cxnSp macro="">
      <xdr:nvCxnSpPr>
        <xdr:cNvPr id="177" name="Branch 2211"/>
        <xdr:cNvCxnSpPr/>
      </xdr:nvCxnSpPr>
      <xdr:spPr>
        <a:xfrm>
          <a:off x="6429375" y="10001250"/>
          <a:ext cx="1343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52</xdr:row>
      <xdr:rowOff>23813</xdr:rowOff>
    </xdr:from>
    <xdr:to>
      <xdr:col>21</xdr:col>
      <xdr:colOff>0</xdr:colOff>
      <xdr:row>52</xdr:row>
      <xdr:rowOff>166688</xdr:rowOff>
    </xdr:to>
    <xdr:cxnSp macro="">
      <xdr:nvCxnSpPr>
        <xdr:cNvPr id="178" name="Leaf 2211"/>
        <xdr:cNvCxnSpPr/>
      </xdr:nvCxnSpPr>
      <xdr:spPr>
        <a:xfrm>
          <a:off x="7772400" y="9929813"/>
          <a:ext cx="0" cy="142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54</xdr:row>
      <xdr:rowOff>95250</xdr:rowOff>
    </xdr:from>
    <xdr:to>
      <xdr:col>18</xdr:col>
      <xdr:colOff>0</xdr:colOff>
      <xdr:row>56</xdr:row>
      <xdr:rowOff>95250</xdr:rowOff>
    </xdr:to>
    <xdr:cxnSp macro="">
      <xdr:nvCxnSpPr>
        <xdr:cNvPr id="179" name="FBranch 2212"/>
        <xdr:cNvCxnSpPr/>
      </xdr:nvCxnSpPr>
      <xdr:spPr>
        <a:xfrm>
          <a:off x="6181725" y="10382250"/>
          <a:ext cx="247650" cy="381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56</xdr:row>
      <xdr:rowOff>95250</xdr:rowOff>
    </xdr:from>
    <xdr:to>
      <xdr:col>21</xdr:col>
      <xdr:colOff>0</xdr:colOff>
      <xdr:row>56</xdr:row>
      <xdr:rowOff>95250</xdr:rowOff>
    </xdr:to>
    <xdr:cxnSp macro="">
      <xdr:nvCxnSpPr>
        <xdr:cNvPr id="180" name="Branch 2212"/>
        <xdr:cNvCxnSpPr/>
      </xdr:nvCxnSpPr>
      <xdr:spPr>
        <a:xfrm>
          <a:off x="6429375" y="10763250"/>
          <a:ext cx="1343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56</xdr:row>
      <xdr:rowOff>23813</xdr:rowOff>
    </xdr:from>
    <xdr:to>
      <xdr:col>21</xdr:col>
      <xdr:colOff>0</xdr:colOff>
      <xdr:row>56</xdr:row>
      <xdr:rowOff>166688</xdr:rowOff>
    </xdr:to>
    <xdr:cxnSp macro="">
      <xdr:nvCxnSpPr>
        <xdr:cNvPr id="181" name="Leaf 2212"/>
        <xdr:cNvCxnSpPr/>
      </xdr:nvCxnSpPr>
      <xdr:spPr>
        <a:xfrm>
          <a:off x="7772400" y="10691813"/>
          <a:ext cx="0" cy="142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62</xdr:row>
      <xdr:rowOff>0</xdr:rowOff>
    </xdr:from>
    <xdr:to>
      <xdr:col>17</xdr:col>
      <xdr:colOff>0</xdr:colOff>
      <xdr:row>62</xdr:row>
      <xdr:rowOff>161925</xdr:rowOff>
    </xdr:to>
    <xdr:sp macro="" textlink="">
      <xdr:nvSpPr>
        <xdr:cNvPr id="182" name="TrNd 222"/>
        <xdr:cNvSpPr>
          <a:spLocks/>
        </xdr:cNvSpPr>
      </xdr:nvSpPr>
      <xdr:spPr>
        <a:xfrm>
          <a:off x="6019800" y="11430000"/>
          <a:ext cx="161925" cy="161925"/>
        </a:xfrm>
        <a:prstGeom prst="ellipse">
          <a:avLst/>
        </a:prstGeom>
        <a:solidFill>
          <a:srgbClr val="008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17</xdr:col>
      <xdr:colOff>0</xdr:colOff>
      <xdr:row>60</xdr:row>
      <xdr:rowOff>95250</xdr:rowOff>
    </xdr:from>
    <xdr:to>
      <xdr:col>18</xdr:col>
      <xdr:colOff>0</xdr:colOff>
      <xdr:row>62</xdr:row>
      <xdr:rowOff>95250</xdr:rowOff>
    </xdr:to>
    <xdr:cxnSp macro="">
      <xdr:nvCxnSpPr>
        <xdr:cNvPr id="186" name="FBranch 2221"/>
        <xdr:cNvCxnSpPr/>
      </xdr:nvCxnSpPr>
      <xdr:spPr>
        <a:xfrm flipV="1">
          <a:off x="6181725" y="11525250"/>
          <a:ext cx="247650" cy="381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60</xdr:row>
      <xdr:rowOff>95250</xdr:rowOff>
    </xdr:from>
    <xdr:to>
      <xdr:col>21</xdr:col>
      <xdr:colOff>0</xdr:colOff>
      <xdr:row>60</xdr:row>
      <xdr:rowOff>95250</xdr:rowOff>
    </xdr:to>
    <xdr:cxnSp macro="">
      <xdr:nvCxnSpPr>
        <xdr:cNvPr id="187" name="Branch 2221"/>
        <xdr:cNvCxnSpPr/>
      </xdr:nvCxnSpPr>
      <xdr:spPr>
        <a:xfrm>
          <a:off x="6429375" y="11525250"/>
          <a:ext cx="1343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60</xdr:row>
      <xdr:rowOff>23813</xdr:rowOff>
    </xdr:from>
    <xdr:to>
      <xdr:col>21</xdr:col>
      <xdr:colOff>0</xdr:colOff>
      <xdr:row>60</xdr:row>
      <xdr:rowOff>166688</xdr:rowOff>
    </xdr:to>
    <xdr:cxnSp macro="">
      <xdr:nvCxnSpPr>
        <xdr:cNvPr id="188" name="Leaf 2221"/>
        <xdr:cNvCxnSpPr/>
      </xdr:nvCxnSpPr>
      <xdr:spPr>
        <a:xfrm>
          <a:off x="7772400" y="11453813"/>
          <a:ext cx="0" cy="142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62</xdr:row>
      <xdr:rowOff>95250</xdr:rowOff>
    </xdr:from>
    <xdr:to>
      <xdr:col>18</xdr:col>
      <xdr:colOff>0</xdr:colOff>
      <xdr:row>64</xdr:row>
      <xdr:rowOff>95250</xdr:rowOff>
    </xdr:to>
    <xdr:cxnSp macro="">
      <xdr:nvCxnSpPr>
        <xdr:cNvPr id="189" name="FBranch 2222"/>
        <xdr:cNvCxnSpPr/>
      </xdr:nvCxnSpPr>
      <xdr:spPr>
        <a:xfrm>
          <a:off x="6181725" y="11906250"/>
          <a:ext cx="247650" cy="381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64</xdr:row>
      <xdr:rowOff>95250</xdr:rowOff>
    </xdr:from>
    <xdr:to>
      <xdr:col>21</xdr:col>
      <xdr:colOff>0</xdr:colOff>
      <xdr:row>64</xdr:row>
      <xdr:rowOff>95250</xdr:rowOff>
    </xdr:to>
    <xdr:cxnSp macro="">
      <xdr:nvCxnSpPr>
        <xdr:cNvPr id="190" name="Branch 2222"/>
        <xdr:cNvCxnSpPr/>
      </xdr:nvCxnSpPr>
      <xdr:spPr>
        <a:xfrm>
          <a:off x="6429375" y="12287250"/>
          <a:ext cx="1343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64</xdr:row>
      <xdr:rowOff>23813</xdr:rowOff>
    </xdr:from>
    <xdr:to>
      <xdr:col>21</xdr:col>
      <xdr:colOff>0</xdr:colOff>
      <xdr:row>64</xdr:row>
      <xdr:rowOff>166688</xdr:rowOff>
    </xdr:to>
    <xdr:cxnSp macro="">
      <xdr:nvCxnSpPr>
        <xdr:cNvPr id="191" name="Leaf 2222"/>
        <xdr:cNvCxnSpPr/>
      </xdr:nvCxnSpPr>
      <xdr:spPr>
        <a:xfrm>
          <a:off x="7772400" y="12215813"/>
          <a:ext cx="0" cy="142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70</xdr:row>
      <xdr:rowOff>0</xdr:rowOff>
    </xdr:from>
    <xdr:to>
      <xdr:col>17</xdr:col>
      <xdr:colOff>0</xdr:colOff>
      <xdr:row>70</xdr:row>
      <xdr:rowOff>161925</xdr:rowOff>
    </xdr:to>
    <xdr:sp macro="" textlink="">
      <xdr:nvSpPr>
        <xdr:cNvPr id="192" name="TrNd 223"/>
        <xdr:cNvSpPr>
          <a:spLocks/>
        </xdr:cNvSpPr>
      </xdr:nvSpPr>
      <xdr:spPr>
        <a:xfrm>
          <a:off x="6019800" y="12954000"/>
          <a:ext cx="161925" cy="161925"/>
        </a:xfrm>
        <a:prstGeom prst="ellipse">
          <a:avLst/>
        </a:prstGeom>
        <a:solidFill>
          <a:srgbClr val="008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Y" sz="1100"/>
        </a:p>
      </xdr:txBody>
    </xdr:sp>
    <xdr:clientData/>
  </xdr:twoCellAnchor>
  <xdr:twoCellAnchor>
    <xdr:from>
      <xdr:col>12</xdr:col>
      <xdr:colOff>0</xdr:colOff>
      <xdr:row>54</xdr:row>
      <xdr:rowOff>95250</xdr:rowOff>
    </xdr:from>
    <xdr:to>
      <xdr:col>13</xdr:col>
      <xdr:colOff>0</xdr:colOff>
      <xdr:row>62</xdr:row>
      <xdr:rowOff>80963</xdr:rowOff>
    </xdr:to>
    <xdr:cxnSp macro="">
      <xdr:nvCxnSpPr>
        <xdr:cNvPr id="193" name="FBranch 221"/>
        <xdr:cNvCxnSpPr/>
      </xdr:nvCxnSpPr>
      <xdr:spPr>
        <a:xfrm flipV="1">
          <a:off x="4429125" y="10382250"/>
          <a:ext cx="247650" cy="150971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62</xdr:row>
      <xdr:rowOff>80963</xdr:rowOff>
    </xdr:from>
    <xdr:to>
      <xdr:col>13</xdr:col>
      <xdr:colOff>0</xdr:colOff>
      <xdr:row>62</xdr:row>
      <xdr:rowOff>95250</xdr:rowOff>
    </xdr:to>
    <xdr:cxnSp macro="">
      <xdr:nvCxnSpPr>
        <xdr:cNvPr id="194" name="FBranch 222"/>
        <xdr:cNvCxnSpPr/>
      </xdr:nvCxnSpPr>
      <xdr:spPr>
        <a:xfrm>
          <a:off x="4429125" y="11891963"/>
          <a:ext cx="247650" cy="1428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62</xdr:row>
      <xdr:rowOff>80963</xdr:rowOff>
    </xdr:from>
    <xdr:to>
      <xdr:col>13</xdr:col>
      <xdr:colOff>0</xdr:colOff>
      <xdr:row>70</xdr:row>
      <xdr:rowOff>95250</xdr:rowOff>
    </xdr:to>
    <xdr:cxnSp macro="">
      <xdr:nvCxnSpPr>
        <xdr:cNvPr id="195" name="FBranch 223"/>
        <xdr:cNvCxnSpPr/>
      </xdr:nvCxnSpPr>
      <xdr:spPr>
        <a:xfrm>
          <a:off x="4429125" y="11891963"/>
          <a:ext cx="247650" cy="153828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38</xdr:row>
      <xdr:rowOff>95250</xdr:rowOff>
    </xdr:from>
    <xdr:to>
      <xdr:col>8</xdr:col>
      <xdr:colOff>0</xdr:colOff>
      <xdr:row>50</xdr:row>
      <xdr:rowOff>80963</xdr:rowOff>
    </xdr:to>
    <xdr:cxnSp macro="">
      <xdr:nvCxnSpPr>
        <xdr:cNvPr id="196" name="FBranch 21"/>
        <xdr:cNvCxnSpPr/>
      </xdr:nvCxnSpPr>
      <xdr:spPr>
        <a:xfrm flipV="1">
          <a:off x="2676525" y="7334250"/>
          <a:ext cx="247650" cy="227171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50</xdr:row>
      <xdr:rowOff>80963</xdr:rowOff>
    </xdr:from>
    <xdr:to>
      <xdr:col>8</xdr:col>
      <xdr:colOff>0</xdr:colOff>
      <xdr:row>62</xdr:row>
      <xdr:rowOff>95250</xdr:rowOff>
    </xdr:to>
    <xdr:cxnSp macro="">
      <xdr:nvCxnSpPr>
        <xdr:cNvPr id="197" name="FBranch 22"/>
        <xdr:cNvCxnSpPr/>
      </xdr:nvCxnSpPr>
      <xdr:spPr>
        <a:xfrm>
          <a:off x="2676525" y="9605963"/>
          <a:ext cx="247650" cy="230028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14</xdr:row>
      <xdr:rowOff>95250</xdr:rowOff>
    </xdr:from>
    <xdr:to>
      <xdr:col>3</xdr:col>
      <xdr:colOff>0</xdr:colOff>
      <xdr:row>32</xdr:row>
      <xdr:rowOff>80963</xdr:rowOff>
    </xdr:to>
    <xdr:cxnSp macro="">
      <xdr:nvCxnSpPr>
        <xdr:cNvPr id="198" name="FBranch 1"/>
        <xdr:cNvCxnSpPr/>
      </xdr:nvCxnSpPr>
      <xdr:spPr>
        <a:xfrm flipV="1">
          <a:off x="923925" y="2762250"/>
          <a:ext cx="247650" cy="341471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32</xdr:row>
      <xdr:rowOff>80963</xdr:rowOff>
    </xdr:from>
    <xdr:to>
      <xdr:col>3</xdr:col>
      <xdr:colOff>0</xdr:colOff>
      <xdr:row>50</xdr:row>
      <xdr:rowOff>95250</xdr:rowOff>
    </xdr:to>
    <xdr:cxnSp macro="">
      <xdr:nvCxnSpPr>
        <xdr:cNvPr id="199" name="FBranch 2"/>
        <xdr:cNvCxnSpPr/>
      </xdr:nvCxnSpPr>
      <xdr:spPr>
        <a:xfrm>
          <a:off x="923925" y="6176963"/>
          <a:ext cx="247650" cy="344328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68</xdr:row>
      <xdr:rowOff>95250</xdr:rowOff>
    </xdr:from>
    <xdr:to>
      <xdr:col>18</xdr:col>
      <xdr:colOff>0</xdr:colOff>
      <xdr:row>70</xdr:row>
      <xdr:rowOff>95250</xdr:rowOff>
    </xdr:to>
    <xdr:cxnSp macro="">
      <xdr:nvCxnSpPr>
        <xdr:cNvPr id="200" name="FBranch 2231"/>
        <xdr:cNvCxnSpPr/>
      </xdr:nvCxnSpPr>
      <xdr:spPr>
        <a:xfrm flipV="1">
          <a:off x="6181725" y="13049250"/>
          <a:ext cx="247650" cy="381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68</xdr:row>
      <xdr:rowOff>95250</xdr:rowOff>
    </xdr:from>
    <xdr:to>
      <xdr:col>21</xdr:col>
      <xdr:colOff>0</xdr:colOff>
      <xdr:row>68</xdr:row>
      <xdr:rowOff>95250</xdr:rowOff>
    </xdr:to>
    <xdr:cxnSp macro="">
      <xdr:nvCxnSpPr>
        <xdr:cNvPr id="201" name="Branch 2231"/>
        <xdr:cNvCxnSpPr/>
      </xdr:nvCxnSpPr>
      <xdr:spPr>
        <a:xfrm>
          <a:off x="6429375" y="13049250"/>
          <a:ext cx="1343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68</xdr:row>
      <xdr:rowOff>23813</xdr:rowOff>
    </xdr:from>
    <xdr:to>
      <xdr:col>21</xdr:col>
      <xdr:colOff>0</xdr:colOff>
      <xdr:row>68</xdr:row>
      <xdr:rowOff>166688</xdr:rowOff>
    </xdr:to>
    <xdr:cxnSp macro="">
      <xdr:nvCxnSpPr>
        <xdr:cNvPr id="202" name="Leaf 2231"/>
        <xdr:cNvCxnSpPr/>
      </xdr:nvCxnSpPr>
      <xdr:spPr>
        <a:xfrm>
          <a:off x="7772400" y="12977813"/>
          <a:ext cx="0" cy="142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70</xdr:row>
      <xdr:rowOff>95250</xdr:rowOff>
    </xdr:from>
    <xdr:to>
      <xdr:col>18</xdr:col>
      <xdr:colOff>0</xdr:colOff>
      <xdr:row>72</xdr:row>
      <xdr:rowOff>95250</xdr:rowOff>
    </xdr:to>
    <xdr:cxnSp macro="">
      <xdr:nvCxnSpPr>
        <xdr:cNvPr id="203" name="FBranch 2232"/>
        <xdr:cNvCxnSpPr/>
      </xdr:nvCxnSpPr>
      <xdr:spPr>
        <a:xfrm>
          <a:off x="6181725" y="13430250"/>
          <a:ext cx="247650" cy="381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72</xdr:row>
      <xdr:rowOff>95250</xdr:rowOff>
    </xdr:from>
    <xdr:to>
      <xdr:col>21</xdr:col>
      <xdr:colOff>0</xdr:colOff>
      <xdr:row>72</xdr:row>
      <xdr:rowOff>95250</xdr:rowOff>
    </xdr:to>
    <xdr:cxnSp macro="">
      <xdr:nvCxnSpPr>
        <xdr:cNvPr id="204" name="Branch 2232"/>
        <xdr:cNvCxnSpPr/>
      </xdr:nvCxnSpPr>
      <xdr:spPr>
        <a:xfrm>
          <a:off x="6429375" y="13811250"/>
          <a:ext cx="1343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72</xdr:row>
      <xdr:rowOff>23813</xdr:rowOff>
    </xdr:from>
    <xdr:to>
      <xdr:col>21</xdr:col>
      <xdr:colOff>0</xdr:colOff>
      <xdr:row>72</xdr:row>
      <xdr:rowOff>166688</xdr:rowOff>
    </xdr:to>
    <xdr:cxnSp macro="">
      <xdr:nvCxnSpPr>
        <xdr:cNvPr id="205" name="Leaf 2232"/>
        <xdr:cNvCxnSpPr/>
      </xdr:nvCxnSpPr>
      <xdr:spPr>
        <a:xfrm>
          <a:off x="7772400" y="13739813"/>
          <a:ext cx="0" cy="142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466726</xdr:colOff>
      <xdr:row>13</xdr:row>
      <xdr:rowOff>180975</xdr:rowOff>
    </xdr:from>
    <xdr:to>
      <xdr:col>16</xdr:col>
      <xdr:colOff>190500</xdr:colOff>
      <xdr:row>28</xdr:row>
      <xdr:rowOff>66675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0"/>
  <sheetViews>
    <sheetView topLeftCell="A40" zoomScaleNormal="100" workbookViewId="0">
      <selection activeCell="AC62" sqref="AC62"/>
    </sheetView>
  </sheetViews>
  <sheetFormatPr baseColWidth="10" defaultRowHeight="15" x14ac:dyDescent="0.25"/>
  <cols>
    <col min="2" max="2" width="2.42578125" customWidth="1"/>
    <col min="3" max="3" width="3.7109375" customWidth="1"/>
    <col min="4" max="4" width="4.7109375" customWidth="1"/>
    <col min="5" max="6" width="7.7109375" customWidth="1"/>
    <col min="7" max="7" width="2.42578125" customWidth="1"/>
    <col min="8" max="8" width="3.7109375" customWidth="1"/>
    <col min="9" max="9" width="7.140625" customWidth="1"/>
    <col min="10" max="11" width="7.7109375" customWidth="1"/>
    <col min="12" max="12" width="2.42578125" customWidth="1"/>
    <col min="13" max="13" width="3.7109375" customWidth="1"/>
    <col min="14" max="14" width="4.7109375" customWidth="1"/>
    <col min="15" max="16" width="7.7109375" customWidth="1"/>
    <col min="17" max="17" width="2.42578125" customWidth="1"/>
    <col min="18" max="18" width="3.7109375" customWidth="1"/>
    <col min="19" max="19" width="4.7109375" customWidth="1"/>
    <col min="20" max="21" width="7.7109375" customWidth="1"/>
    <col min="22" max="22" width="14.7109375" customWidth="1"/>
    <col min="23" max="23" width="10.7109375" customWidth="1"/>
    <col min="26" max="26" width="19.28515625" customWidth="1"/>
  </cols>
  <sheetData>
    <row r="1" spans="4:30" x14ac:dyDescent="0.25">
      <c r="V1" s="1" t="s">
        <v>0</v>
      </c>
      <c r="W1" s="1" t="s">
        <v>1</v>
      </c>
      <c r="Z1" t="s">
        <v>11</v>
      </c>
    </row>
    <row r="3" spans="4:30" x14ac:dyDescent="0.25">
      <c r="Z3" t="s">
        <v>33</v>
      </c>
    </row>
    <row r="4" spans="4:30" x14ac:dyDescent="0.25">
      <c r="N4" s="2">
        <v>0.51</v>
      </c>
      <c r="O4" s="3" t="s">
        <v>7</v>
      </c>
      <c r="Z4" t="s">
        <v>34</v>
      </c>
    </row>
    <row r="5" spans="4:30" x14ac:dyDescent="0.25">
      <c r="V5" s="2">
        <v>500</v>
      </c>
      <c r="W5" s="2">
        <v>500</v>
      </c>
      <c r="Z5" t="s">
        <v>35</v>
      </c>
    </row>
    <row r="6" spans="4:30" x14ac:dyDescent="0.25">
      <c r="I6" s="3" t="str">
        <f>IF($F$16=$K$8,"&gt;&gt;&gt;","")</f>
        <v>&gt;&gt;&gt;</v>
      </c>
      <c r="J6" s="3" t="s">
        <v>4</v>
      </c>
      <c r="Z6" t="s">
        <v>36</v>
      </c>
    </row>
    <row r="7" spans="4:30" x14ac:dyDescent="0.25">
      <c r="V7" s="2"/>
      <c r="W7" s="2"/>
    </row>
    <row r="8" spans="4:30" x14ac:dyDescent="0.25">
      <c r="K8">
        <f>$N$4*$W$5+$N$8*$W$9</f>
        <v>157</v>
      </c>
      <c r="N8" s="2">
        <v>0.49</v>
      </c>
      <c r="O8" s="3" t="s">
        <v>8</v>
      </c>
      <c r="Z8" t="s">
        <v>12</v>
      </c>
    </row>
    <row r="9" spans="4:30" x14ac:dyDescent="0.25">
      <c r="V9" s="2">
        <v>-200</v>
      </c>
      <c r="W9" s="2">
        <v>-200</v>
      </c>
      <c r="Z9" s="4" t="s">
        <v>13</v>
      </c>
      <c r="AA9" s="4">
        <v>0.51</v>
      </c>
      <c r="AC9" s="4" t="s">
        <v>14</v>
      </c>
      <c r="AD9" s="4">
        <v>0.49</v>
      </c>
    </row>
    <row r="11" spans="4:30" x14ac:dyDescent="0.25">
      <c r="V11" s="2"/>
      <c r="W11" s="2"/>
      <c r="Z11" s="3" t="s">
        <v>15</v>
      </c>
      <c r="AA11" s="3"/>
      <c r="AB11" s="3"/>
    </row>
    <row r="12" spans="4:30" x14ac:dyDescent="0.25">
      <c r="N12" s="2">
        <v>0.51</v>
      </c>
      <c r="O12" s="3" t="s">
        <v>7</v>
      </c>
      <c r="V12" s="2"/>
      <c r="W12" s="2"/>
    </row>
    <row r="13" spans="4:30" x14ac:dyDescent="0.25">
      <c r="V13" s="2">
        <v>300</v>
      </c>
      <c r="W13" s="2">
        <v>300</v>
      </c>
      <c r="Z13" s="4" t="s">
        <v>16</v>
      </c>
      <c r="AA13" s="4">
        <v>0.7</v>
      </c>
      <c r="AC13" s="4" t="s">
        <v>17</v>
      </c>
      <c r="AD13" s="4">
        <v>0.3</v>
      </c>
    </row>
    <row r="14" spans="4:30" x14ac:dyDescent="0.25">
      <c r="D14" s="3" t="str">
        <f>IF($A$34=$F$16,"&gt;&gt;&gt;","")</f>
        <v/>
      </c>
      <c r="E14" s="3" t="s">
        <v>2</v>
      </c>
      <c r="I14" s="3" t="str">
        <f>IF($F$16=$K$16,"&gt;&gt;&gt;","")</f>
        <v/>
      </c>
      <c r="J14" s="3" t="s">
        <v>5</v>
      </c>
      <c r="Z14" s="4" t="s">
        <v>18</v>
      </c>
      <c r="AA14" s="4">
        <v>0.3</v>
      </c>
      <c r="AC14" s="4" t="s">
        <v>19</v>
      </c>
      <c r="AD14" s="4">
        <v>0.7</v>
      </c>
    </row>
    <row r="15" spans="4:30" x14ac:dyDescent="0.25">
      <c r="V15" s="2"/>
      <c r="W15" s="2"/>
    </row>
    <row r="16" spans="4:30" x14ac:dyDescent="0.25">
      <c r="F16">
        <f>MAX($K$8,$K$16,$K$24)</f>
        <v>157</v>
      </c>
      <c r="K16">
        <f>$N$12*$W$13+$N$16*$W$17</f>
        <v>128.5</v>
      </c>
      <c r="N16" s="2">
        <v>0.49</v>
      </c>
      <c r="O16" s="3" t="s">
        <v>8</v>
      </c>
      <c r="Z16" s="3" t="s">
        <v>20</v>
      </c>
      <c r="AA16" s="3"/>
      <c r="AB16" s="3"/>
    </row>
    <row r="17" spans="9:30" x14ac:dyDescent="0.25">
      <c r="V17" s="2">
        <v>-50</v>
      </c>
      <c r="W17" s="2">
        <v>-50</v>
      </c>
    </row>
    <row r="18" spans="9:30" x14ac:dyDescent="0.25">
      <c r="Z18" s="4" t="s">
        <v>21</v>
      </c>
      <c r="AA18" s="4">
        <f>AA13*AA9</f>
        <v>0.35699999999999998</v>
      </c>
      <c r="AB18" s="4"/>
    </row>
    <row r="19" spans="9:30" x14ac:dyDescent="0.25">
      <c r="Z19" s="4" t="s">
        <v>22</v>
      </c>
      <c r="AA19" s="4">
        <f>AD13*AA9</f>
        <v>0.153</v>
      </c>
      <c r="AB19" s="4"/>
    </row>
    <row r="20" spans="9:30" x14ac:dyDescent="0.25">
      <c r="N20" s="2">
        <v>0.51</v>
      </c>
      <c r="O20" s="3" t="s">
        <v>7</v>
      </c>
      <c r="Z20" s="4" t="s">
        <v>23</v>
      </c>
      <c r="AA20" s="4">
        <f>AA14*AD9</f>
        <v>0.14699999999999999</v>
      </c>
      <c r="AB20" s="4"/>
    </row>
    <row r="21" spans="9:30" x14ac:dyDescent="0.25">
      <c r="V21" s="2">
        <v>100</v>
      </c>
      <c r="W21" s="2">
        <v>100</v>
      </c>
      <c r="Z21" s="4" t="s">
        <v>24</v>
      </c>
      <c r="AA21" s="4">
        <f>AD14*AD9</f>
        <v>0.34299999999999997</v>
      </c>
      <c r="AB21" s="4"/>
    </row>
    <row r="22" spans="9:30" x14ac:dyDescent="0.25">
      <c r="I22" s="3" t="str">
        <f>IF($F$16=$K$24,"&gt;&gt;&gt;","")</f>
        <v/>
      </c>
      <c r="J22" s="3" t="s">
        <v>6</v>
      </c>
    </row>
    <row r="23" spans="9:30" x14ac:dyDescent="0.25">
      <c r="V23" s="2"/>
      <c r="W23" s="2"/>
      <c r="Z23" t="s">
        <v>25</v>
      </c>
    </row>
    <row r="24" spans="9:30" x14ac:dyDescent="0.25">
      <c r="K24">
        <f>$N$20*$W$21+$N$24*$W$25</f>
        <v>60.8</v>
      </c>
      <c r="N24" s="2">
        <v>0.49</v>
      </c>
      <c r="O24" s="3" t="s">
        <v>8</v>
      </c>
    </row>
    <row r="25" spans="9:30" x14ac:dyDescent="0.25">
      <c r="V25" s="2">
        <v>20</v>
      </c>
      <c r="W25" s="2">
        <v>20</v>
      </c>
      <c r="Z25" s="4" t="s">
        <v>26</v>
      </c>
      <c r="AA25" s="4">
        <f>AA18+AA20</f>
        <v>0.504</v>
      </c>
    </row>
    <row r="26" spans="9:30" x14ac:dyDescent="0.25">
      <c r="Z26" s="4" t="s">
        <v>27</v>
      </c>
      <c r="AA26" s="4">
        <f>AA19+AA21</f>
        <v>0.496</v>
      </c>
    </row>
    <row r="28" spans="9:30" x14ac:dyDescent="0.25">
      <c r="S28" s="2">
        <v>0.71</v>
      </c>
      <c r="T28" s="3" t="s">
        <v>7</v>
      </c>
      <c r="Z28" t="s">
        <v>28</v>
      </c>
    </row>
    <row r="29" spans="9:30" x14ac:dyDescent="0.25">
      <c r="V29" s="2">
        <v>499.98</v>
      </c>
      <c r="W29" s="2">
        <v>499.98</v>
      </c>
    </row>
    <row r="30" spans="9:30" x14ac:dyDescent="0.25">
      <c r="N30" s="3" t="str">
        <f>IF($K$40=$P$32,"&gt;&gt;&gt;","")</f>
        <v>&gt;&gt;&gt;</v>
      </c>
      <c r="O30" s="3" t="s">
        <v>4</v>
      </c>
      <c r="Z30" s="4" t="s">
        <v>29</v>
      </c>
      <c r="AA30" s="5">
        <f>AA18/AA25</f>
        <v>0.70833333333333326</v>
      </c>
      <c r="AC30" s="4" t="s">
        <v>30</v>
      </c>
      <c r="AD30" s="5">
        <f>AA20/AA25</f>
        <v>0.29166666666666663</v>
      </c>
    </row>
    <row r="31" spans="9:30" x14ac:dyDescent="0.25">
      <c r="V31" s="2"/>
      <c r="W31" s="2"/>
      <c r="Z31" s="4" t="s">
        <v>31</v>
      </c>
      <c r="AA31" s="5">
        <f>AA19/AA26</f>
        <v>0.30846774193548387</v>
      </c>
      <c r="AC31" s="4" t="s">
        <v>32</v>
      </c>
      <c r="AD31" s="5">
        <f>AA21/AA26</f>
        <v>0.69153225806451613</v>
      </c>
    </row>
    <row r="32" spans="9:30" x14ac:dyDescent="0.25">
      <c r="P32">
        <f>$S$28*$W$29+$S$32*$W$33</f>
        <v>296.97999999999996</v>
      </c>
      <c r="S32" s="2">
        <f>1-$S$28</f>
        <v>0.29000000000000004</v>
      </c>
      <c r="T32" s="3" t="s">
        <v>8</v>
      </c>
    </row>
    <row r="33" spans="1:31" x14ac:dyDescent="0.25">
      <c r="V33" s="2">
        <v>-200.02</v>
      </c>
      <c r="W33" s="2">
        <v>-200.02</v>
      </c>
    </row>
    <row r="34" spans="1:31" x14ac:dyDescent="0.25">
      <c r="A34">
        <f>MAX($F$16,$F$52)</f>
        <v>178.68399999999997</v>
      </c>
      <c r="Z34" t="s">
        <v>40</v>
      </c>
    </row>
    <row r="35" spans="1:31" x14ac:dyDescent="0.25">
      <c r="V35" s="2"/>
      <c r="W35" s="2"/>
      <c r="Z35" t="s">
        <v>41</v>
      </c>
    </row>
    <row r="36" spans="1:31" x14ac:dyDescent="0.25">
      <c r="S36" s="2">
        <v>0.71</v>
      </c>
      <c r="T36" s="3" t="s">
        <v>7</v>
      </c>
      <c r="V36" s="2"/>
      <c r="W36" s="2"/>
    </row>
    <row r="37" spans="1:31" x14ac:dyDescent="0.25">
      <c r="V37" s="2">
        <v>299.98</v>
      </c>
      <c r="W37" s="2">
        <v>299.98</v>
      </c>
      <c r="Z37" t="s">
        <v>42</v>
      </c>
    </row>
    <row r="38" spans="1:31" x14ac:dyDescent="0.25">
      <c r="I38" s="6">
        <v>0.504</v>
      </c>
      <c r="J38" s="3" t="s">
        <v>9</v>
      </c>
      <c r="N38" s="3" t="str">
        <f>IF($K$40=$P$40,"&gt;&gt;&gt;","")</f>
        <v/>
      </c>
      <c r="O38" s="3" t="s">
        <v>5</v>
      </c>
    </row>
    <row r="39" spans="1:31" x14ac:dyDescent="0.25">
      <c r="V39" s="2"/>
      <c r="W39" s="2"/>
      <c r="Z39" t="s">
        <v>43</v>
      </c>
      <c r="AB39" t="s">
        <v>44</v>
      </c>
      <c r="AD39" t="s">
        <v>45</v>
      </c>
    </row>
    <row r="40" spans="1:31" x14ac:dyDescent="0.25">
      <c r="K40">
        <f>MAX($P$32,$P$40,$P$48)</f>
        <v>296.97999999999996</v>
      </c>
      <c r="P40">
        <f>$S$36*$W$37+$S$40*$W$41</f>
        <v>198.48000000000002</v>
      </c>
      <c r="S40" s="2">
        <f>1-$S$36</f>
        <v>0.29000000000000004</v>
      </c>
      <c r="T40" s="3" t="s">
        <v>8</v>
      </c>
    </row>
    <row r="41" spans="1:31" x14ac:dyDescent="0.25">
      <c r="V41" s="2">
        <v>-50.02</v>
      </c>
      <c r="W41" s="2">
        <v>-50.02</v>
      </c>
      <c r="Z41" t="s">
        <v>46</v>
      </c>
      <c r="AB41">
        <v>0.4</v>
      </c>
      <c r="AC41">
        <v>0.6</v>
      </c>
      <c r="AD41">
        <v>0.7</v>
      </c>
      <c r="AE41">
        <v>0.8</v>
      </c>
    </row>
    <row r="43" spans="1:31" x14ac:dyDescent="0.25">
      <c r="Z43" t="s">
        <v>4</v>
      </c>
      <c r="AA43" t="s">
        <v>47</v>
      </c>
      <c r="AB43" s="7">
        <f>500-700*AB41</f>
        <v>220</v>
      </c>
      <c r="AC43">
        <f>500-700*AC41</f>
        <v>80</v>
      </c>
      <c r="AD43">
        <f>500-700*AD41</f>
        <v>10.000000000000057</v>
      </c>
      <c r="AE43">
        <f>500-700*AE41</f>
        <v>-60</v>
      </c>
    </row>
    <row r="44" spans="1:31" x14ac:dyDescent="0.25">
      <c r="S44" s="2">
        <v>0.71</v>
      </c>
      <c r="T44" s="3" t="s">
        <v>7</v>
      </c>
      <c r="Z44" t="s">
        <v>5</v>
      </c>
      <c r="AA44" t="s">
        <v>48</v>
      </c>
      <c r="AB44">
        <f>300-350*AB41</f>
        <v>160</v>
      </c>
      <c r="AC44" s="7">
        <f t="shared" ref="AC44:AE44" si="0">300-350*AC41</f>
        <v>90</v>
      </c>
      <c r="AD44" s="7">
        <f t="shared" si="0"/>
        <v>55.000000000000028</v>
      </c>
      <c r="AE44">
        <f t="shared" si="0"/>
        <v>20</v>
      </c>
    </row>
    <row r="45" spans="1:31" x14ac:dyDescent="0.25">
      <c r="V45" s="2">
        <v>99.98</v>
      </c>
      <c r="W45" s="2">
        <v>99.98</v>
      </c>
      <c r="Z45" t="s">
        <v>6</v>
      </c>
      <c r="AA45" t="s">
        <v>49</v>
      </c>
      <c r="AB45">
        <f>100-80*AB41</f>
        <v>68</v>
      </c>
      <c r="AC45">
        <f t="shared" ref="AC45:AE45" si="1">100-80*AC41</f>
        <v>52</v>
      </c>
      <c r="AD45">
        <f t="shared" si="1"/>
        <v>44</v>
      </c>
      <c r="AE45" s="7">
        <f t="shared" si="1"/>
        <v>36</v>
      </c>
    </row>
    <row r="46" spans="1:31" x14ac:dyDescent="0.25">
      <c r="N46" s="3" t="str">
        <f>IF($K$40=$P$48,"&gt;&gt;&gt;","")</f>
        <v/>
      </c>
      <c r="O46" s="3" t="s">
        <v>6</v>
      </c>
    </row>
    <row r="47" spans="1:31" x14ac:dyDescent="0.25">
      <c r="V47" s="2"/>
      <c r="W47" s="2"/>
      <c r="Z47" t="s">
        <v>50</v>
      </c>
    </row>
    <row r="48" spans="1:31" x14ac:dyDescent="0.25">
      <c r="P48">
        <f>$S$44*$W$45+$S$48*$W$49</f>
        <v>76.78</v>
      </c>
      <c r="S48" s="2">
        <f>1-$S$44</f>
        <v>0.29000000000000004</v>
      </c>
      <c r="T48" s="3" t="s">
        <v>8</v>
      </c>
    </row>
    <row r="49" spans="4:31" x14ac:dyDescent="0.25">
      <c r="V49" s="2">
        <v>19.98</v>
      </c>
      <c r="W49" s="2">
        <v>19.98</v>
      </c>
      <c r="Z49" t="s">
        <v>51</v>
      </c>
    </row>
    <row r="50" spans="4:31" x14ac:dyDescent="0.25">
      <c r="D50" s="3" t="str">
        <f>IF($A$34=$F$52,"&gt;&gt;&gt;","")</f>
        <v>&gt;&gt;&gt;</v>
      </c>
      <c r="E50" s="3" t="s">
        <v>3</v>
      </c>
      <c r="Z50" t="s">
        <v>52</v>
      </c>
    </row>
    <row r="51" spans="4:31" x14ac:dyDescent="0.25">
      <c r="V51" s="2"/>
      <c r="Z51" s="8" t="s">
        <v>72</v>
      </c>
    </row>
    <row r="52" spans="4:31" x14ac:dyDescent="0.25">
      <c r="F52">
        <f>$I$38*$K$40+$I$62*$K$64</f>
        <v>178.68399999999997</v>
      </c>
      <c r="S52" s="2">
        <v>0.31</v>
      </c>
      <c r="T52" s="3" t="s">
        <v>7</v>
      </c>
      <c r="V52" s="2"/>
    </row>
    <row r="53" spans="4:31" x14ac:dyDescent="0.25">
      <c r="V53" s="2">
        <v>499.98</v>
      </c>
      <c r="W53" s="2">
        <v>499.98</v>
      </c>
      <c r="Z53" t="s">
        <v>53</v>
      </c>
      <c r="AB53" t="s">
        <v>46</v>
      </c>
      <c r="AD53">
        <v>0.4</v>
      </c>
      <c r="AE53">
        <v>0.5</v>
      </c>
    </row>
    <row r="54" spans="4:31" x14ac:dyDescent="0.25">
      <c r="N54" s="3" t="str">
        <f>IF($K$64=$P$56,"&gt;&gt;&gt;","")</f>
        <v/>
      </c>
      <c r="O54" s="3" t="s">
        <v>4</v>
      </c>
    </row>
    <row r="55" spans="4:31" x14ac:dyDescent="0.25">
      <c r="V55" s="2"/>
      <c r="W55" s="2"/>
      <c r="Z55" t="s">
        <v>54</v>
      </c>
      <c r="AA55" t="s">
        <v>73</v>
      </c>
      <c r="AD55">
        <f>238.5*AD53+58.48</f>
        <v>153.88</v>
      </c>
      <c r="AE55" s="7">
        <f>238.5*AE53+58.48</f>
        <v>177.73</v>
      </c>
    </row>
    <row r="56" spans="4:31" x14ac:dyDescent="0.25">
      <c r="P56">
        <f>$S$52*$W$53+$S$56*$W$57</f>
        <v>16.97999999999999</v>
      </c>
      <c r="S56" s="2">
        <f>1-$S$52</f>
        <v>0.69</v>
      </c>
      <c r="T56" s="3" t="s">
        <v>8</v>
      </c>
      <c r="Z56" t="s">
        <v>55</v>
      </c>
      <c r="AA56">
        <v>157</v>
      </c>
      <c r="AD56" s="7">
        <v>157</v>
      </c>
      <c r="AE56">
        <v>157</v>
      </c>
    </row>
    <row r="57" spans="4:31" x14ac:dyDescent="0.25">
      <c r="V57" s="2">
        <v>-200.02</v>
      </c>
      <c r="W57" s="2">
        <v>-200.02</v>
      </c>
    </row>
    <row r="58" spans="4:31" x14ac:dyDescent="0.25">
      <c r="Z58" s="8" t="s">
        <v>74</v>
      </c>
    </row>
    <row r="59" spans="4:31" x14ac:dyDescent="0.25">
      <c r="V59" s="2"/>
      <c r="W59" s="2"/>
    </row>
    <row r="60" spans="4:31" x14ac:dyDescent="0.25">
      <c r="S60" s="2">
        <v>0.31</v>
      </c>
      <c r="T60" s="3" t="s">
        <v>7</v>
      </c>
      <c r="V60" s="2"/>
      <c r="W60" s="2"/>
    </row>
    <row r="61" spans="4:31" x14ac:dyDescent="0.25">
      <c r="V61" s="2">
        <v>299.98</v>
      </c>
      <c r="W61" s="2">
        <v>299.98</v>
      </c>
    </row>
    <row r="62" spans="4:31" x14ac:dyDescent="0.25">
      <c r="I62" s="6">
        <f>1-$I$38</f>
        <v>0.496</v>
      </c>
      <c r="J62" s="3" t="s">
        <v>10</v>
      </c>
      <c r="N62" s="3" t="str">
        <f>IF($K$64=$P$64,"&gt;&gt;&gt;","")</f>
        <v>&gt;&gt;&gt;</v>
      </c>
      <c r="O62" s="3" t="s">
        <v>5</v>
      </c>
    </row>
    <row r="63" spans="4:31" x14ac:dyDescent="0.25">
      <c r="V63" s="2"/>
      <c r="W63" s="2"/>
    </row>
    <row r="64" spans="4:31" x14ac:dyDescent="0.25">
      <c r="K64">
        <f>MAX($P$56,$P$64,$P$72)</f>
        <v>58.480000000000011</v>
      </c>
      <c r="P64">
        <f>$S$60*$W$61+$S$64*$W$65</f>
        <v>58.480000000000011</v>
      </c>
      <c r="S64" s="2">
        <f>1-$S$60</f>
        <v>0.69</v>
      </c>
      <c r="T64" s="3" t="s">
        <v>8</v>
      </c>
    </row>
    <row r="65" spans="8:23" x14ac:dyDescent="0.25">
      <c r="V65" s="2">
        <v>-50.02</v>
      </c>
      <c r="W65" s="2">
        <v>-50.02</v>
      </c>
    </row>
    <row r="68" spans="8:23" x14ac:dyDescent="0.25">
      <c r="S68" s="2">
        <v>0.31</v>
      </c>
      <c r="T68" s="3" t="s">
        <v>7</v>
      </c>
    </row>
    <row r="69" spans="8:23" x14ac:dyDescent="0.25">
      <c r="V69" s="2">
        <v>99.98</v>
      </c>
      <c r="W69" s="2">
        <v>99.98</v>
      </c>
    </row>
    <row r="70" spans="8:23" x14ac:dyDescent="0.25">
      <c r="N70" s="3" t="str">
        <f>IF($K$64=$P$72,"&gt;&gt;&gt;","")</f>
        <v/>
      </c>
      <c r="O70" s="3" t="s">
        <v>6</v>
      </c>
    </row>
    <row r="71" spans="8:23" x14ac:dyDescent="0.25">
      <c r="V71" s="2"/>
      <c r="W71" s="2"/>
    </row>
    <row r="72" spans="8:23" x14ac:dyDescent="0.25">
      <c r="P72">
        <f>$S$68*$W$69+$S$72*$W$73</f>
        <v>44.78</v>
      </c>
      <c r="S72" s="2">
        <f>1-$S$68</f>
        <v>0.69</v>
      </c>
      <c r="T72" s="3" t="s">
        <v>8</v>
      </c>
    </row>
    <row r="73" spans="8:23" x14ac:dyDescent="0.25">
      <c r="V73" s="2">
        <v>19.98</v>
      </c>
      <c r="W73" s="2">
        <v>19.98</v>
      </c>
    </row>
    <row r="76" spans="8:23" x14ac:dyDescent="0.25">
      <c r="H76" t="s">
        <v>37</v>
      </c>
      <c r="J76">
        <f>0.51*500+0.49*20-157</f>
        <v>107.80000000000001</v>
      </c>
    </row>
    <row r="78" spans="8:23" x14ac:dyDescent="0.25">
      <c r="H78" t="s">
        <v>38</v>
      </c>
      <c r="N78">
        <f>F52-F16</f>
        <v>21.683999999999969</v>
      </c>
    </row>
    <row r="80" spans="8:23" x14ac:dyDescent="0.25">
      <c r="H80" t="s">
        <v>39</v>
      </c>
      <c r="J80">
        <f>F52+0.02-F16</f>
        <v>21.703999999999979</v>
      </c>
    </row>
  </sheetData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opLeftCell="A31" zoomScaleNormal="100" workbookViewId="0">
      <selection activeCell="H44" sqref="H44"/>
    </sheetView>
  </sheetViews>
  <sheetFormatPr baseColWidth="10" defaultRowHeight="15" x14ac:dyDescent="0.25"/>
  <cols>
    <col min="8" max="8" width="14.140625" bestFit="1" customWidth="1"/>
    <col min="9" max="9" width="35" customWidth="1"/>
    <col min="11" max="11" width="13.42578125" customWidth="1"/>
    <col min="12" max="12" width="32.7109375" customWidth="1"/>
  </cols>
  <sheetData>
    <row r="1" spans="1:13" ht="45" x14ac:dyDescent="0.25">
      <c r="A1" s="10" t="s">
        <v>56</v>
      </c>
      <c r="B1" s="11" t="s">
        <v>57</v>
      </c>
      <c r="C1" s="4" t="s">
        <v>58</v>
      </c>
      <c r="D1" s="4" t="s">
        <v>59</v>
      </c>
      <c r="E1" s="4" t="s">
        <v>61</v>
      </c>
      <c r="F1" s="4" t="s">
        <v>62</v>
      </c>
      <c r="G1" s="4" t="s">
        <v>59</v>
      </c>
      <c r="H1" s="4" t="s">
        <v>63</v>
      </c>
      <c r="I1" s="12" t="s">
        <v>64</v>
      </c>
      <c r="J1" s="4" t="s">
        <v>65</v>
      </c>
      <c r="K1" s="4" t="s">
        <v>66</v>
      </c>
      <c r="L1" s="12" t="s">
        <v>64</v>
      </c>
      <c r="M1" s="4" t="s">
        <v>59</v>
      </c>
    </row>
    <row r="2" spans="1:13" ht="15.75" x14ac:dyDescent="0.25">
      <c r="A2" s="13">
        <v>1</v>
      </c>
      <c r="B2" s="14">
        <v>180</v>
      </c>
      <c r="C2" s="4"/>
      <c r="D2" s="4"/>
      <c r="E2" s="4">
        <v>0.2</v>
      </c>
      <c r="F2" s="4"/>
      <c r="G2" s="4"/>
      <c r="H2" s="4">
        <v>0.5</v>
      </c>
      <c r="I2" s="4">
        <v>180</v>
      </c>
      <c r="J2" s="4"/>
      <c r="K2" s="4">
        <v>0.8</v>
      </c>
      <c r="L2" s="4">
        <v>180</v>
      </c>
      <c r="M2" s="4"/>
    </row>
    <row r="3" spans="1:13" ht="15.75" x14ac:dyDescent="0.25">
      <c r="A3" s="13">
        <v>2</v>
      </c>
      <c r="B3" s="14">
        <v>200</v>
      </c>
      <c r="C3" s="4"/>
      <c r="D3" s="4"/>
      <c r="E3" s="4">
        <v>0.3</v>
      </c>
      <c r="F3" s="4"/>
      <c r="G3" s="4"/>
      <c r="H3" s="4"/>
      <c r="I3" s="4">
        <f>$H$2*B2+(1-$H$2)*I2</f>
        <v>180</v>
      </c>
      <c r="J3" s="4">
        <f>ABS(B3-I3)</f>
        <v>20</v>
      </c>
      <c r="K3" s="4"/>
      <c r="L3" s="4">
        <f>$K$2*B2+(1-$K$2)*L2</f>
        <v>180</v>
      </c>
      <c r="M3" s="4">
        <f>ABS(B3-L3)</f>
        <v>20</v>
      </c>
    </row>
    <row r="4" spans="1:13" ht="15.75" x14ac:dyDescent="0.25">
      <c r="A4" s="13">
        <v>3</v>
      </c>
      <c r="B4" s="14">
        <v>220</v>
      </c>
      <c r="C4" s="4"/>
      <c r="D4" s="4"/>
      <c r="E4" s="4">
        <v>0.5</v>
      </c>
      <c r="F4" s="4"/>
      <c r="G4" s="4"/>
      <c r="H4" s="4"/>
      <c r="I4" s="4">
        <f t="shared" ref="I4:I38" si="0">$H$2*B3+(1-$H$2)*I3</f>
        <v>190</v>
      </c>
      <c r="J4" s="4">
        <f t="shared" ref="J4:J37" si="1">ABS(B4-I4)</f>
        <v>30</v>
      </c>
      <c r="K4" s="4"/>
      <c r="L4" s="4">
        <f t="shared" ref="L4:L38" si="2">$K$2*B3+(1-$K$2)*L3</f>
        <v>196</v>
      </c>
      <c r="M4" s="4">
        <f t="shared" ref="M4:M37" si="3">ABS(B4-L4)</f>
        <v>24</v>
      </c>
    </row>
    <row r="5" spans="1:13" ht="15.75" x14ac:dyDescent="0.25">
      <c r="A5" s="13">
        <v>4</v>
      </c>
      <c r="B5" s="14">
        <v>240</v>
      </c>
      <c r="C5" s="4">
        <f>AVERAGE(B2:B4)</f>
        <v>200</v>
      </c>
      <c r="D5" s="4">
        <f>ABS(B5-C5)</f>
        <v>40</v>
      </c>
      <c r="E5" s="4"/>
      <c r="F5" s="4">
        <f>$E$2*B2+$E$3*B3+$E$4*B4</f>
        <v>206</v>
      </c>
      <c r="G5" s="4">
        <f>ABS(B5-F5)</f>
        <v>34</v>
      </c>
      <c r="H5" s="4"/>
      <c r="I5" s="4">
        <f t="shared" si="0"/>
        <v>205</v>
      </c>
      <c r="J5" s="4">
        <f t="shared" si="1"/>
        <v>35</v>
      </c>
      <c r="K5" s="4"/>
      <c r="L5" s="4">
        <f t="shared" si="2"/>
        <v>215.2</v>
      </c>
      <c r="M5" s="4">
        <f t="shared" si="3"/>
        <v>24.800000000000011</v>
      </c>
    </row>
    <row r="6" spans="1:13" ht="15.75" x14ac:dyDescent="0.25">
      <c r="A6" s="13">
        <v>5</v>
      </c>
      <c r="B6" s="14">
        <v>260</v>
      </c>
      <c r="C6" s="4">
        <f t="shared" ref="C6:C38" si="4">AVERAGE(B3:B5)</f>
        <v>220</v>
      </c>
      <c r="D6" s="4">
        <f t="shared" ref="D6:D37" si="5">ABS(B6-C6)</f>
        <v>40</v>
      </c>
      <c r="E6" s="4"/>
      <c r="F6" s="4">
        <f t="shared" ref="F6:F38" si="6">$E$2*B3+$E$3*B4+$E$4*B5</f>
        <v>226</v>
      </c>
      <c r="G6" s="4">
        <f t="shared" ref="G6:G37" si="7">ABS(B6-F6)</f>
        <v>34</v>
      </c>
      <c r="H6" s="4"/>
      <c r="I6" s="4">
        <f t="shared" si="0"/>
        <v>222.5</v>
      </c>
      <c r="J6" s="4">
        <f t="shared" si="1"/>
        <v>37.5</v>
      </c>
      <c r="K6" s="4"/>
      <c r="L6" s="4">
        <f t="shared" si="2"/>
        <v>235.04</v>
      </c>
      <c r="M6" s="4">
        <f t="shared" si="3"/>
        <v>24.960000000000008</v>
      </c>
    </row>
    <row r="7" spans="1:13" ht="15.75" x14ac:dyDescent="0.25">
      <c r="A7" s="13">
        <v>6</v>
      </c>
      <c r="B7" s="14">
        <v>280</v>
      </c>
      <c r="C7" s="4">
        <f t="shared" si="4"/>
        <v>240</v>
      </c>
      <c r="D7" s="4">
        <f t="shared" si="5"/>
        <v>40</v>
      </c>
      <c r="E7" s="4"/>
      <c r="F7" s="4">
        <f t="shared" si="6"/>
        <v>246</v>
      </c>
      <c r="G7" s="4">
        <f t="shared" si="7"/>
        <v>34</v>
      </c>
      <c r="H7" s="4"/>
      <c r="I7" s="4">
        <f t="shared" si="0"/>
        <v>241.25</v>
      </c>
      <c r="J7" s="4">
        <f t="shared" si="1"/>
        <v>38.75</v>
      </c>
      <c r="K7" s="4"/>
      <c r="L7" s="4">
        <f t="shared" si="2"/>
        <v>255.00799999999998</v>
      </c>
      <c r="M7" s="4">
        <f t="shared" si="3"/>
        <v>24.992000000000019</v>
      </c>
    </row>
    <row r="8" spans="1:13" ht="15.75" x14ac:dyDescent="0.25">
      <c r="A8" s="13">
        <v>7</v>
      </c>
      <c r="B8" s="14">
        <v>300</v>
      </c>
      <c r="C8" s="4">
        <f t="shared" si="4"/>
        <v>260</v>
      </c>
      <c r="D8" s="4">
        <f t="shared" si="5"/>
        <v>40</v>
      </c>
      <c r="E8" s="4"/>
      <c r="F8" s="4">
        <f t="shared" si="6"/>
        <v>266</v>
      </c>
      <c r="G8" s="4">
        <f t="shared" si="7"/>
        <v>34</v>
      </c>
      <c r="H8" s="4"/>
      <c r="I8" s="4">
        <f t="shared" si="0"/>
        <v>260.625</v>
      </c>
      <c r="J8" s="4">
        <f t="shared" si="1"/>
        <v>39.375</v>
      </c>
      <c r="K8" s="4"/>
      <c r="L8" s="4">
        <f t="shared" si="2"/>
        <v>275.0016</v>
      </c>
      <c r="M8" s="4">
        <f t="shared" si="3"/>
        <v>24.998400000000004</v>
      </c>
    </row>
    <row r="9" spans="1:13" ht="15.75" x14ac:dyDescent="0.25">
      <c r="A9" s="13">
        <v>8</v>
      </c>
      <c r="B9" s="14">
        <v>320</v>
      </c>
      <c r="C9" s="4">
        <f t="shared" si="4"/>
        <v>280</v>
      </c>
      <c r="D9" s="4">
        <f t="shared" si="5"/>
        <v>40</v>
      </c>
      <c r="E9" s="4"/>
      <c r="F9" s="4">
        <f t="shared" si="6"/>
        <v>286</v>
      </c>
      <c r="G9" s="4">
        <f t="shared" si="7"/>
        <v>34</v>
      </c>
      <c r="H9" s="4"/>
      <c r="I9" s="4">
        <f t="shared" si="0"/>
        <v>280.3125</v>
      </c>
      <c r="J9" s="4">
        <f t="shared" si="1"/>
        <v>39.6875</v>
      </c>
      <c r="K9" s="4"/>
      <c r="L9" s="4">
        <f t="shared" si="2"/>
        <v>295.00031999999999</v>
      </c>
      <c r="M9" s="4">
        <f t="shared" si="3"/>
        <v>24.999680000000012</v>
      </c>
    </row>
    <row r="10" spans="1:13" ht="15.75" x14ac:dyDescent="0.25">
      <c r="A10" s="13">
        <v>9</v>
      </c>
      <c r="B10" s="14">
        <v>340</v>
      </c>
      <c r="C10" s="4">
        <f t="shared" si="4"/>
        <v>300</v>
      </c>
      <c r="D10" s="4">
        <f t="shared" si="5"/>
        <v>40</v>
      </c>
      <c r="E10" s="4"/>
      <c r="F10" s="4">
        <f t="shared" si="6"/>
        <v>306</v>
      </c>
      <c r="G10" s="4">
        <f t="shared" si="7"/>
        <v>34</v>
      </c>
      <c r="H10" s="4"/>
      <c r="I10" s="4">
        <f t="shared" si="0"/>
        <v>300.15625</v>
      </c>
      <c r="J10" s="4">
        <f t="shared" si="1"/>
        <v>39.84375</v>
      </c>
      <c r="K10" s="4"/>
      <c r="L10" s="4">
        <f t="shared" si="2"/>
        <v>315.00006400000001</v>
      </c>
      <c r="M10" s="4">
        <f t="shared" si="3"/>
        <v>24.999935999999991</v>
      </c>
    </row>
    <row r="11" spans="1:13" ht="15.75" x14ac:dyDescent="0.25">
      <c r="A11" s="13">
        <v>10</v>
      </c>
      <c r="B11" s="14">
        <v>380</v>
      </c>
      <c r="C11" s="4">
        <f t="shared" si="4"/>
        <v>320</v>
      </c>
      <c r="D11" s="4">
        <f t="shared" si="5"/>
        <v>60</v>
      </c>
      <c r="E11" s="4"/>
      <c r="F11" s="4">
        <f t="shared" si="6"/>
        <v>326</v>
      </c>
      <c r="G11" s="4">
        <f t="shared" si="7"/>
        <v>54</v>
      </c>
      <c r="H11" s="4"/>
      <c r="I11" s="4">
        <f t="shared" si="0"/>
        <v>320.078125</v>
      </c>
      <c r="J11" s="4">
        <f t="shared" si="1"/>
        <v>59.921875</v>
      </c>
      <c r="K11" s="4"/>
      <c r="L11" s="4">
        <f t="shared" si="2"/>
        <v>335.00001279999998</v>
      </c>
      <c r="M11" s="4">
        <f t="shared" si="3"/>
        <v>44.999987200000021</v>
      </c>
    </row>
    <row r="12" spans="1:13" ht="15.75" x14ac:dyDescent="0.25">
      <c r="A12" s="13">
        <v>11</v>
      </c>
      <c r="B12" s="14">
        <v>360</v>
      </c>
      <c r="C12" s="4">
        <f t="shared" si="4"/>
        <v>346.66666666666669</v>
      </c>
      <c r="D12" s="4">
        <f t="shared" si="5"/>
        <v>13.333333333333314</v>
      </c>
      <c r="E12" s="4"/>
      <c r="F12" s="4">
        <f t="shared" si="6"/>
        <v>356</v>
      </c>
      <c r="G12" s="4">
        <f t="shared" si="7"/>
        <v>4</v>
      </c>
      <c r="H12" s="4"/>
      <c r="I12" s="4">
        <f t="shared" si="0"/>
        <v>350.0390625</v>
      </c>
      <c r="J12" s="4">
        <f t="shared" si="1"/>
        <v>9.9609375</v>
      </c>
      <c r="K12" s="4"/>
      <c r="L12" s="4">
        <f t="shared" si="2"/>
        <v>371.00000255999998</v>
      </c>
      <c r="M12" s="4">
        <f t="shared" si="3"/>
        <v>11.000002559999984</v>
      </c>
    </row>
    <row r="13" spans="1:13" ht="15.75" x14ac:dyDescent="0.25">
      <c r="A13" s="13">
        <v>12</v>
      </c>
      <c r="B13" s="14">
        <v>410</v>
      </c>
      <c r="C13" s="4">
        <f t="shared" si="4"/>
        <v>360</v>
      </c>
      <c r="D13" s="4">
        <f t="shared" si="5"/>
        <v>50</v>
      </c>
      <c r="E13" s="4"/>
      <c r="F13" s="4">
        <f t="shared" si="6"/>
        <v>362</v>
      </c>
      <c r="G13" s="4">
        <f t="shared" si="7"/>
        <v>48</v>
      </c>
      <c r="H13" s="4"/>
      <c r="I13" s="4">
        <f t="shared" si="0"/>
        <v>355.01953125</v>
      </c>
      <c r="J13" s="4">
        <f t="shared" si="1"/>
        <v>54.98046875</v>
      </c>
      <c r="K13" s="4"/>
      <c r="L13" s="4">
        <f t="shared" si="2"/>
        <v>362.20000051199997</v>
      </c>
      <c r="M13" s="4">
        <f t="shared" si="3"/>
        <v>47.799999488000026</v>
      </c>
    </row>
    <row r="14" spans="1:13" ht="15.75" x14ac:dyDescent="0.25">
      <c r="A14" s="13">
        <v>13</v>
      </c>
      <c r="B14" s="14">
        <v>420</v>
      </c>
      <c r="C14" s="4">
        <f t="shared" si="4"/>
        <v>383.33333333333331</v>
      </c>
      <c r="D14" s="4">
        <f t="shared" si="5"/>
        <v>36.666666666666686</v>
      </c>
      <c r="E14" s="4"/>
      <c r="F14" s="4">
        <f t="shared" si="6"/>
        <v>389</v>
      </c>
      <c r="G14" s="4">
        <f t="shared" si="7"/>
        <v>31</v>
      </c>
      <c r="H14" s="4"/>
      <c r="I14" s="4">
        <f t="shared" si="0"/>
        <v>382.509765625</v>
      </c>
      <c r="J14" s="4">
        <f t="shared" si="1"/>
        <v>37.490234375</v>
      </c>
      <c r="K14" s="4"/>
      <c r="L14" s="4">
        <f t="shared" si="2"/>
        <v>400.44000010239995</v>
      </c>
      <c r="M14" s="4">
        <f t="shared" si="3"/>
        <v>19.559999897600051</v>
      </c>
    </row>
    <row r="15" spans="1:13" ht="15.75" x14ac:dyDescent="0.25">
      <c r="A15" s="13">
        <v>14</v>
      </c>
      <c r="B15" s="14">
        <v>400</v>
      </c>
      <c r="C15" s="4">
        <f t="shared" si="4"/>
        <v>396.66666666666669</v>
      </c>
      <c r="D15" s="4">
        <f t="shared" si="5"/>
        <v>3.3333333333333144</v>
      </c>
      <c r="E15" s="4"/>
      <c r="F15" s="4">
        <f t="shared" si="6"/>
        <v>405</v>
      </c>
      <c r="G15" s="4">
        <f t="shared" si="7"/>
        <v>5</v>
      </c>
      <c r="H15" s="4"/>
      <c r="I15" s="4">
        <f t="shared" si="0"/>
        <v>401.2548828125</v>
      </c>
      <c r="J15" s="4">
        <f t="shared" si="1"/>
        <v>1.2548828125</v>
      </c>
      <c r="K15" s="4"/>
      <c r="L15" s="4">
        <f t="shared" si="2"/>
        <v>416.08800002047997</v>
      </c>
      <c r="M15" s="4">
        <f t="shared" si="3"/>
        <v>16.088000020479967</v>
      </c>
    </row>
    <row r="16" spans="1:13" ht="15.75" x14ac:dyDescent="0.25">
      <c r="A16" s="13">
        <v>15</v>
      </c>
      <c r="B16" s="14">
        <v>430</v>
      </c>
      <c r="C16" s="4">
        <f t="shared" si="4"/>
        <v>410</v>
      </c>
      <c r="D16" s="4">
        <f t="shared" si="5"/>
        <v>20</v>
      </c>
      <c r="E16" s="4"/>
      <c r="F16" s="4">
        <f t="shared" si="6"/>
        <v>408</v>
      </c>
      <c r="G16" s="4">
        <f t="shared" si="7"/>
        <v>22</v>
      </c>
      <c r="H16" s="4"/>
      <c r="I16" s="4">
        <f t="shared" si="0"/>
        <v>400.62744140625</v>
      </c>
      <c r="J16" s="4">
        <f t="shared" si="1"/>
        <v>29.37255859375</v>
      </c>
      <c r="K16" s="4"/>
      <c r="L16" s="4">
        <f t="shared" si="2"/>
        <v>403.21760000409597</v>
      </c>
      <c r="M16" s="4">
        <f t="shared" si="3"/>
        <v>26.782399995904029</v>
      </c>
    </row>
    <row r="17" spans="1:13" ht="15.75" x14ac:dyDescent="0.25">
      <c r="A17" s="13">
        <v>16</v>
      </c>
      <c r="B17" s="14">
        <v>440</v>
      </c>
      <c r="C17" s="4">
        <f t="shared" si="4"/>
        <v>416.66666666666669</v>
      </c>
      <c r="D17" s="4">
        <f t="shared" si="5"/>
        <v>23.333333333333314</v>
      </c>
      <c r="E17" s="4"/>
      <c r="F17" s="4">
        <f t="shared" si="6"/>
        <v>419</v>
      </c>
      <c r="G17" s="4">
        <f t="shared" si="7"/>
        <v>21</v>
      </c>
      <c r="H17" s="4"/>
      <c r="I17" s="4">
        <f t="shared" si="0"/>
        <v>415.313720703125</v>
      </c>
      <c r="J17" s="4">
        <f t="shared" si="1"/>
        <v>24.686279296875</v>
      </c>
      <c r="K17" s="4"/>
      <c r="L17" s="4">
        <f t="shared" si="2"/>
        <v>424.64352000081919</v>
      </c>
      <c r="M17" s="4">
        <f t="shared" si="3"/>
        <v>15.356479999180806</v>
      </c>
    </row>
    <row r="18" spans="1:13" ht="15.75" x14ac:dyDescent="0.25">
      <c r="A18" s="13">
        <v>17</v>
      </c>
      <c r="B18" s="14">
        <v>450</v>
      </c>
      <c r="C18" s="4">
        <f t="shared" si="4"/>
        <v>423.33333333333331</v>
      </c>
      <c r="D18" s="4">
        <f t="shared" si="5"/>
        <v>26.666666666666686</v>
      </c>
      <c r="E18" s="4"/>
      <c r="F18" s="4">
        <f t="shared" si="6"/>
        <v>429</v>
      </c>
      <c r="G18" s="4">
        <f t="shared" si="7"/>
        <v>21</v>
      </c>
      <c r="H18" s="4"/>
      <c r="I18" s="4">
        <f t="shared" si="0"/>
        <v>427.6568603515625</v>
      </c>
      <c r="J18" s="4">
        <f t="shared" si="1"/>
        <v>22.3431396484375</v>
      </c>
      <c r="K18" s="4"/>
      <c r="L18" s="4">
        <f t="shared" si="2"/>
        <v>436.9287040001638</v>
      </c>
      <c r="M18" s="4">
        <f t="shared" si="3"/>
        <v>13.071295999836195</v>
      </c>
    </row>
    <row r="19" spans="1:13" ht="15.75" x14ac:dyDescent="0.25">
      <c r="A19" s="13">
        <v>18</v>
      </c>
      <c r="B19" s="14">
        <v>420</v>
      </c>
      <c r="C19" s="4">
        <f t="shared" si="4"/>
        <v>440</v>
      </c>
      <c r="D19" s="4">
        <f t="shared" si="5"/>
        <v>20</v>
      </c>
      <c r="E19" s="4"/>
      <c r="F19" s="4">
        <f t="shared" si="6"/>
        <v>443</v>
      </c>
      <c r="G19" s="4">
        <f t="shared" si="7"/>
        <v>23</v>
      </c>
      <c r="H19" s="4"/>
      <c r="I19" s="4">
        <f t="shared" si="0"/>
        <v>438.82843017578125</v>
      </c>
      <c r="J19" s="4">
        <f t="shared" si="1"/>
        <v>18.82843017578125</v>
      </c>
      <c r="K19" s="4"/>
      <c r="L19" s="4">
        <f t="shared" si="2"/>
        <v>447.38574080003275</v>
      </c>
      <c r="M19" s="4">
        <f t="shared" si="3"/>
        <v>27.38574080003275</v>
      </c>
    </row>
    <row r="20" spans="1:13" ht="15.75" x14ac:dyDescent="0.25">
      <c r="A20" s="13">
        <v>19</v>
      </c>
      <c r="B20" s="14">
        <v>540</v>
      </c>
      <c r="C20" s="4">
        <f t="shared" si="4"/>
        <v>436.66666666666669</v>
      </c>
      <c r="D20" s="4">
        <f t="shared" si="5"/>
        <v>103.33333333333331</v>
      </c>
      <c r="E20" s="4"/>
      <c r="F20" s="4">
        <f t="shared" si="6"/>
        <v>433</v>
      </c>
      <c r="G20" s="4">
        <f t="shared" si="7"/>
        <v>107</v>
      </c>
      <c r="H20" s="4"/>
      <c r="I20" s="4">
        <f t="shared" si="0"/>
        <v>429.41421508789063</v>
      </c>
      <c r="J20" s="4">
        <f t="shared" si="1"/>
        <v>110.58578491210937</v>
      </c>
      <c r="K20" s="4"/>
      <c r="L20" s="4">
        <f t="shared" si="2"/>
        <v>425.47714816000655</v>
      </c>
      <c r="M20" s="4">
        <f t="shared" si="3"/>
        <v>114.52285183999345</v>
      </c>
    </row>
    <row r="21" spans="1:13" ht="15.75" x14ac:dyDescent="0.25">
      <c r="A21" s="13">
        <v>20</v>
      </c>
      <c r="B21" s="14">
        <v>570</v>
      </c>
      <c r="C21" s="4">
        <f t="shared" si="4"/>
        <v>470</v>
      </c>
      <c r="D21" s="4">
        <f t="shared" si="5"/>
        <v>100</v>
      </c>
      <c r="E21" s="4"/>
      <c r="F21" s="4">
        <f t="shared" si="6"/>
        <v>486</v>
      </c>
      <c r="G21" s="4">
        <f t="shared" si="7"/>
        <v>84</v>
      </c>
      <c r="H21" s="4"/>
      <c r="I21" s="4">
        <f t="shared" si="0"/>
        <v>484.70710754394531</v>
      </c>
      <c r="J21" s="4">
        <f t="shared" si="1"/>
        <v>85.292892456054688</v>
      </c>
      <c r="K21" s="4"/>
      <c r="L21" s="4">
        <f t="shared" si="2"/>
        <v>517.09542963200124</v>
      </c>
      <c r="M21" s="4">
        <f t="shared" si="3"/>
        <v>52.904570367998758</v>
      </c>
    </row>
    <row r="22" spans="1:13" ht="15.75" x14ac:dyDescent="0.25">
      <c r="A22" s="13">
        <v>21</v>
      </c>
      <c r="B22" s="14">
        <v>600</v>
      </c>
      <c r="C22" s="4">
        <f t="shared" si="4"/>
        <v>510</v>
      </c>
      <c r="D22" s="4">
        <f t="shared" si="5"/>
        <v>90</v>
      </c>
      <c r="E22" s="4"/>
      <c r="F22" s="4">
        <f t="shared" si="6"/>
        <v>531</v>
      </c>
      <c r="G22" s="4">
        <f t="shared" si="7"/>
        <v>69</v>
      </c>
      <c r="H22" s="4"/>
      <c r="I22" s="4">
        <f t="shared" si="0"/>
        <v>527.35355377197266</v>
      </c>
      <c r="J22" s="4">
        <f t="shared" si="1"/>
        <v>72.646446228027344</v>
      </c>
      <c r="K22" s="4"/>
      <c r="L22" s="4">
        <f t="shared" si="2"/>
        <v>559.41908592640027</v>
      </c>
      <c r="M22" s="4">
        <f t="shared" si="3"/>
        <v>40.580914073599729</v>
      </c>
    </row>
    <row r="23" spans="1:13" ht="15.75" x14ac:dyDescent="0.25">
      <c r="A23" s="13">
        <v>22</v>
      </c>
      <c r="B23" s="14">
        <v>630</v>
      </c>
      <c r="C23" s="4">
        <f t="shared" si="4"/>
        <v>570</v>
      </c>
      <c r="D23" s="4">
        <f t="shared" si="5"/>
        <v>60</v>
      </c>
      <c r="E23" s="4"/>
      <c r="F23" s="4">
        <f t="shared" si="6"/>
        <v>579</v>
      </c>
      <c r="G23" s="4">
        <f t="shared" si="7"/>
        <v>51</v>
      </c>
      <c r="H23" s="4"/>
      <c r="I23" s="4">
        <f t="shared" si="0"/>
        <v>563.67677688598633</v>
      </c>
      <c r="J23" s="4">
        <f t="shared" si="1"/>
        <v>66.323223114013672</v>
      </c>
      <c r="K23" s="4"/>
      <c r="L23" s="4">
        <f t="shared" si="2"/>
        <v>591.88381718528001</v>
      </c>
      <c r="M23" s="4">
        <f t="shared" si="3"/>
        <v>38.116182814719991</v>
      </c>
    </row>
    <row r="24" spans="1:13" ht="15.75" x14ac:dyDescent="0.25">
      <c r="A24" s="13">
        <v>23</v>
      </c>
      <c r="B24" s="14">
        <v>650</v>
      </c>
      <c r="C24" s="4">
        <f t="shared" si="4"/>
        <v>600</v>
      </c>
      <c r="D24" s="4">
        <f t="shared" si="5"/>
        <v>50</v>
      </c>
      <c r="E24" s="4"/>
      <c r="F24" s="4">
        <f t="shared" si="6"/>
        <v>609</v>
      </c>
      <c r="G24" s="4">
        <f t="shared" si="7"/>
        <v>41</v>
      </c>
      <c r="H24" s="4"/>
      <c r="I24" s="4">
        <f t="shared" si="0"/>
        <v>596.83838844299316</v>
      </c>
      <c r="J24" s="4">
        <f t="shared" si="1"/>
        <v>53.161611557006836</v>
      </c>
      <c r="K24" s="4"/>
      <c r="L24" s="4">
        <f t="shared" si="2"/>
        <v>622.37676343705596</v>
      </c>
      <c r="M24" s="4">
        <f t="shared" si="3"/>
        <v>27.623236562944044</v>
      </c>
    </row>
    <row r="25" spans="1:13" ht="15.75" x14ac:dyDescent="0.25">
      <c r="A25" s="13">
        <v>24</v>
      </c>
      <c r="B25" s="14">
        <v>680</v>
      </c>
      <c r="C25" s="4">
        <f t="shared" si="4"/>
        <v>626.66666666666663</v>
      </c>
      <c r="D25" s="4">
        <f t="shared" si="5"/>
        <v>53.333333333333371</v>
      </c>
      <c r="E25" s="4"/>
      <c r="F25" s="4">
        <f t="shared" si="6"/>
        <v>634</v>
      </c>
      <c r="G25" s="4">
        <f t="shared" si="7"/>
        <v>46</v>
      </c>
      <c r="H25" s="4"/>
      <c r="I25" s="4">
        <f t="shared" si="0"/>
        <v>623.41919422149658</v>
      </c>
      <c r="J25" s="4">
        <f t="shared" si="1"/>
        <v>56.580805778503418</v>
      </c>
      <c r="K25" s="4"/>
      <c r="L25" s="4">
        <f t="shared" si="2"/>
        <v>644.47535268741115</v>
      </c>
      <c r="M25" s="4">
        <f t="shared" si="3"/>
        <v>35.524647312588854</v>
      </c>
    </row>
    <row r="26" spans="1:13" ht="15.75" x14ac:dyDescent="0.25">
      <c r="A26" s="13">
        <v>25</v>
      </c>
      <c r="B26" s="14">
        <v>660</v>
      </c>
      <c r="C26" s="4">
        <f t="shared" si="4"/>
        <v>653.33333333333337</v>
      </c>
      <c r="D26" s="4">
        <f t="shared" si="5"/>
        <v>6.6666666666666288</v>
      </c>
      <c r="E26" s="4"/>
      <c r="F26" s="4">
        <f t="shared" si="6"/>
        <v>661</v>
      </c>
      <c r="G26" s="4">
        <f t="shared" si="7"/>
        <v>1</v>
      </c>
      <c r="H26" s="4"/>
      <c r="I26" s="4">
        <f t="shared" si="0"/>
        <v>651.70959711074829</v>
      </c>
      <c r="J26" s="4">
        <f t="shared" si="1"/>
        <v>8.290402889251709</v>
      </c>
      <c r="K26" s="4"/>
      <c r="L26" s="4">
        <f t="shared" si="2"/>
        <v>672.89507053748218</v>
      </c>
      <c r="M26" s="4">
        <f t="shared" si="3"/>
        <v>12.895070537482184</v>
      </c>
    </row>
    <row r="27" spans="1:13" ht="15.75" x14ac:dyDescent="0.25">
      <c r="A27" s="13">
        <v>26</v>
      </c>
      <c r="B27" s="14">
        <v>690</v>
      </c>
      <c r="C27" s="4">
        <f t="shared" si="4"/>
        <v>663.33333333333337</v>
      </c>
      <c r="D27" s="4">
        <f t="shared" si="5"/>
        <v>26.666666666666629</v>
      </c>
      <c r="E27" s="4"/>
      <c r="F27" s="4">
        <f t="shared" si="6"/>
        <v>664</v>
      </c>
      <c r="G27" s="4">
        <f t="shared" si="7"/>
        <v>26</v>
      </c>
      <c r="H27" s="4"/>
      <c r="I27" s="4">
        <f t="shared" si="0"/>
        <v>655.85479855537415</v>
      </c>
      <c r="J27" s="4">
        <f t="shared" si="1"/>
        <v>34.145201444625854</v>
      </c>
      <c r="K27" s="4"/>
      <c r="L27" s="4">
        <f t="shared" si="2"/>
        <v>662.57901410749639</v>
      </c>
      <c r="M27" s="4">
        <f t="shared" si="3"/>
        <v>27.420985892503609</v>
      </c>
    </row>
    <row r="28" spans="1:13" ht="15.75" x14ac:dyDescent="0.25">
      <c r="A28" s="13">
        <v>27</v>
      </c>
      <c r="B28" s="14">
        <v>710</v>
      </c>
      <c r="C28" s="4">
        <f t="shared" si="4"/>
        <v>676.66666666666663</v>
      </c>
      <c r="D28" s="4">
        <f t="shared" si="5"/>
        <v>33.333333333333371</v>
      </c>
      <c r="E28" s="4"/>
      <c r="F28" s="4">
        <f t="shared" si="6"/>
        <v>679</v>
      </c>
      <c r="G28" s="4">
        <f t="shared" si="7"/>
        <v>31</v>
      </c>
      <c r="H28" s="4"/>
      <c r="I28" s="4">
        <f t="shared" si="0"/>
        <v>672.92739927768707</v>
      </c>
      <c r="J28" s="4">
        <f t="shared" si="1"/>
        <v>37.072600722312927</v>
      </c>
      <c r="K28" s="4"/>
      <c r="L28" s="4">
        <f t="shared" si="2"/>
        <v>684.51580282149928</v>
      </c>
      <c r="M28" s="4">
        <f t="shared" si="3"/>
        <v>25.484197178500722</v>
      </c>
    </row>
    <row r="29" spans="1:13" ht="15.75" x14ac:dyDescent="0.25">
      <c r="A29" s="13">
        <v>28</v>
      </c>
      <c r="B29" s="14">
        <v>750</v>
      </c>
      <c r="C29" s="4">
        <f t="shared" si="4"/>
        <v>686.66666666666663</v>
      </c>
      <c r="D29" s="4">
        <f t="shared" si="5"/>
        <v>63.333333333333371</v>
      </c>
      <c r="E29" s="4"/>
      <c r="F29" s="4">
        <f t="shared" si="6"/>
        <v>694</v>
      </c>
      <c r="G29" s="4">
        <f t="shared" si="7"/>
        <v>56</v>
      </c>
      <c r="H29" s="4"/>
      <c r="I29" s="4">
        <f t="shared" si="0"/>
        <v>691.46369963884354</v>
      </c>
      <c r="J29" s="4">
        <f t="shared" si="1"/>
        <v>58.536300361156464</v>
      </c>
      <c r="K29" s="4"/>
      <c r="L29" s="4">
        <f t="shared" si="2"/>
        <v>704.90316056429981</v>
      </c>
      <c r="M29" s="4">
        <f t="shared" si="3"/>
        <v>45.09683943570019</v>
      </c>
    </row>
    <row r="30" spans="1:13" ht="15.75" x14ac:dyDescent="0.25">
      <c r="A30" s="13">
        <v>29</v>
      </c>
      <c r="B30" s="14">
        <v>720</v>
      </c>
      <c r="C30" s="4">
        <f t="shared" si="4"/>
        <v>716.66666666666663</v>
      </c>
      <c r="D30" s="4">
        <f t="shared" si="5"/>
        <v>3.3333333333333712</v>
      </c>
      <c r="E30" s="4"/>
      <c r="F30" s="4">
        <f t="shared" si="6"/>
        <v>726</v>
      </c>
      <c r="G30" s="4">
        <f t="shared" si="7"/>
        <v>6</v>
      </c>
      <c r="H30" s="4"/>
      <c r="I30" s="4">
        <f t="shared" si="0"/>
        <v>720.73184981942177</v>
      </c>
      <c r="J30" s="4">
        <f t="shared" si="1"/>
        <v>0.73184981942176819</v>
      </c>
      <c r="K30" s="4"/>
      <c r="L30" s="4">
        <f t="shared" si="2"/>
        <v>740.98063211285989</v>
      </c>
      <c r="M30" s="4">
        <f t="shared" si="3"/>
        <v>20.980632112859894</v>
      </c>
    </row>
    <row r="31" spans="1:13" ht="15.75" x14ac:dyDescent="0.25">
      <c r="A31" s="13">
        <v>30</v>
      </c>
      <c r="B31" s="14">
        <v>760</v>
      </c>
      <c r="C31" s="4">
        <f t="shared" si="4"/>
        <v>726.66666666666663</v>
      </c>
      <c r="D31" s="4">
        <f t="shared" si="5"/>
        <v>33.333333333333371</v>
      </c>
      <c r="E31" s="4"/>
      <c r="F31" s="4">
        <f t="shared" si="6"/>
        <v>727</v>
      </c>
      <c r="G31" s="4">
        <f t="shared" si="7"/>
        <v>33</v>
      </c>
      <c r="H31" s="4"/>
      <c r="I31" s="4">
        <f t="shared" si="0"/>
        <v>720.36592490971088</v>
      </c>
      <c r="J31" s="4">
        <f t="shared" si="1"/>
        <v>39.634075090289116</v>
      </c>
      <c r="K31" s="4"/>
      <c r="L31" s="4">
        <f t="shared" si="2"/>
        <v>724.19612642257198</v>
      </c>
      <c r="M31" s="4">
        <f t="shared" si="3"/>
        <v>35.803873577428021</v>
      </c>
    </row>
    <row r="32" spans="1:13" ht="15.75" x14ac:dyDescent="0.25">
      <c r="A32" s="13">
        <v>31</v>
      </c>
      <c r="B32" s="14">
        <v>740</v>
      </c>
      <c r="C32" s="4">
        <f t="shared" si="4"/>
        <v>743.33333333333337</v>
      </c>
      <c r="D32" s="4">
        <f t="shared" si="5"/>
        <v>3.3333333333333712</v>
      </c>
      <c r="E32" s="4"/>
      <c r="F32" s="4">
        <f t="shared" si="6"/>
        <v>746</v>
      </c>
      <c r="G32" s="4">
        <f t="shared" si="7"/>
        <v>6</v>
      </c>
      <c r="H32" s="4"/>
      <c r="I32" s="4">
        <f t="shared" si="0"/>
        <v>740.18296245485544</v>
      </c>
      <c r="J32" s="4">
        <f t="shared" si="1"/>
        <v>0.18296245485544205</v>
      </c>
      <c r="K32" s="4"/>
      <c r="L32" s="4">
        <f t="shared" si="2"/>
        <v>752.83922528451433</v>
      </c>
      <c r="M32" s="4">
        <f t="shared" si="3"/>
        <v>12.839225284514328</v>
      </c>
    </row>
    <row r="33" spans="1:13" ht="15.75" x14ac:dyDescent="0.25">
      <c r="A33" s="13">
        <v>32</v>
      </c>
      <c r="B33" s="14">
        <v>780</v>
      </c>
      <c r="C33" s="4">
        <f t="shared" si="4"/>
        <v>740</v>
      </c>
      <c r="D33" s="4">
        <f t="shared" si="5"/>
        <v>40</v>
      </c>
      <c r="E33" s="4"/>
      <c r="F33" s="4">
        <f t="shared" si="6"/>
        <v>742</v>
      </c>
      <c r="G33" s="4">
        <f t="shared" si="7"/>
        <v>38</v>
      </c>
      <c r="H33" s="4"/>
      <c r="I33" s="4">
        <f t="shared" si="0"/>
        <v>740.09148122742772</v>
      </c>
      <c r="J33" s="4">
        <f t="shared" si="1"/>
        <v>39.908518772572279</v>
      </c>
      <c r="K33" s="4"/>
      <c r="L33" s="4">
        <f t="shared" si="2"/>
        <v>742.5678450569028</v>
      </c>
      <c r="M33" s="4">
        <f t="shared" si="3"/>
        <v>37.432154943097203</v>
      </c>
    </row>
    <row r="34" spans="1:13" ht="15.75" x14ac:dyDescent="0.25">
      <c r="A34" s="13">
        <v>33</v>
      </c>
      <c r="B34" s="14">
        <v>760</v>
      </c>
      <c r="C34" s="4">
        <f t="shared" si="4"/>
        <v>760</v>
      </c>
      <c r="D34" s="4">
        <f t="shared" si="5"/>
        <v>0</v>
      </c>
      <c r="E34" s="4"/>
      <c r="F34" s="4">
        <f t="shared" si="6"/>
        <v>764</v>
      </c>
      <c r="G34" s="4">
        <f t="shared" si="7"/>
        <v>4</v>
      </c>
      <c r="H34" s="4"/>
      <c r="I34" s="4">
        <f t="shared" si="0"/>
        <v>760.04574061371386</v>
      </c>
      <c r="J34" s="4">
        <f t="shared" si="1"/>
        <v>4.5740613713860512E-2</v>
      </c>
      <c r="K34" s="4"/>
      <c r="L34" s="4">
        <f t="shared" si="2"/>
        <v>772.51356901138047</v>
      </c>
      <c r="M34" s="4">
        <f t="shared" si="3"/>
        <v>12.513569011380469</v>
      </c>
    </row>
    <row r="35" spans="1:13" ht="15.75" x14ac:dyDescent="0.25">
      <c r="A35" s="13">
        <v>34</v>
      </c>
      <c r="B35" s="14">
        <v>800</v>
      </c>
      <c r="C35" s="4">
        <f t="shared" si="4"/>
        <v>760</v>
      </c>
      <c r="D35" s="4">
        <f t="shared" si="5"/>
        <v>40</v>
      </c>
      <c r="E35" s="4"/>
      <c r="F35" s="4">
        <f t="shared" si="6"/>
        <v>762</v>
      </c>
      <c r="G35" s="4">
        <f t="shared" si="7"/>
        <v>38</v>
      </c>
      <c r="H35" s="4"/>
      <c r="I35" s="4">
        <f t="shared" si="0"/>
        <v>760.02287030685693</v>
      </c>
      <c r="J35" s="4">
        <f t="shared" si="1"/>
        <v>39.97712969314307</v>
      </c>
      <c r="K35" s="4"/>
      <c r="L35" s="4">
        <f t="shared" si="2"/>
        <v>762.50271380227605</v>
      </c>
      <c r="M35" s="4">
        <f t="shared" si="3"/>
        <v>37.497286197723952</v>
      </c>
    </row>
    <row r="36" spans="1:13" ht="15.75" x14ac:dyDescent="0.25">
      <c r="A36" s="13">
        <v>35</v>
      </c>
      <c r="B36" s="14">
        <v>780</v>
      </c>
      <c r="C36" s="4">
        <f t="shared" si="4"/>
        <v>780</v>
      </c>
      <c r="D36" s="4">
        <f t="shared" si="5"/>
        <v>0</v>
      </c>
      <c r="E36" s="4"/>
      <c r="F36" s="4">
        <f t="shared" si="6"/>
        <v>784</v>
      </c>
      <c r="G36" s="4">
        <f t="shared" si="7"/>
        <v>4</v>
      </c>
      <c r="H36" s="4"/>
      <c r="I36" s="4">
        <f t="shared" si="0"/>
        <v>780.01143515342847</v>
      </c>
      <c r="J36" s="4">
        <f t="shared" si="1"/>
        <v>1.1435153428465128E-2</v>
      </c>
      <c r="K36" s="4"/>
      <c r="L36" s="4">
        <f t="shared" si="2"/>
        <v>792.50054276045512</v>
      </c>
      <c r="M36" s="4">
        <f t="shared" si="3"/>
        <v>12.500542760455119</v>
      </c>
    </row>
    <row r="37" spans="1:13" ht="15.75" x14ac:dyDescent="0.25">
      <c r="A37" s="13">
        <v>36</v>
      </c>
      <c r="B37" s="14">
        <v>820</v>
      </c>
      <c r="C37" s="4">
        <f t="shared" si="4"/>
        <v>780</v>
      </c>
      <c r="D37" s="4">
        <f t="shared" si="5"/>
        <v>40</v>
      </c>
      <c r="E37" s="4"/>
      <c r="F37" s="4">
        <f t="shared" si="6"/>
        <v>782</v>
      </c>
      <c r="G37" s="4">
        <f t="shared" si="7"/>
        <v>38</v>
      </c>
      <c r="H37" s="4"/>
      <c r="I37" s="4">
        <f t="shared" si="0"/>
        <v>780.00571757671423</v>
      </c>
      <c r="J37" s="4">
        <f t="shared" si="1"/>
        <v>39.994282423285767</v>
      </c>
      <c r="K37" s="4"/>
      <c r="L37" s="4">
        <f t="shared" si="2"/>
        <v>782.50010855209098</v>
      </c>
      <c r="M37" s="4">
        <f t="shared" si="3"/>
        <v>37.499891447909022</v>
      </c>
    </row>
    <row r="38" spans="1:13" ht="15.75" x14ac:dyDescent="0.25">
      <c r="A38" s="13">
        <v>37</v>
      </c>
      <c r="B38" s="15"/>
      <c r="C38" s="15">
        <f t="shared" si="4"/>
        <v>800</v>
      </c>
      <c r="D38" s="4"/>
      <c r="E38" s="4"/>
      <c r="F38" s="15">
        <f t="shared" si="6"/>
        <v>804</v>
      </c>
      <c r="G38" s="4"/>
      <c r="H38" s="4"/>
      <c r="I38" s="15">
        <f t="shared" si="0"/>
        <v>800.00285878835712</v>
      </c>
      <c r="J38" s="4"/>
      <c r="K38" s="4"/>
      <c r="L38" s="15">
        <f t="shared" si="2"/>
        <v>812.5000217104182</v>
      </c>
      <c r="M38" s="4"/>
    </row>
    <row r="39" spans="1:13" x14ac:dyDescent="0.25">
      <c r="A39" s="4"/>
      <c r="B39" s="4"/>
      <c r="C39" s="4" t="s">
        <v>60</v>
      </c>
      <c r="D39" s="16">
        <f>AVERAGE(D5:D37)</f>
        <v>37.575757575757592</v>
      </c>
      <c r="E39" s="4"/>
      <c r="F39" s="4" t="s">
        <v>60</v>
      </c>
      <c r="G39" s="16">
        <f>AVERAGE(G5:G37)</f>
        <v>33.696969696969695</v>
      </c>
      <c r="H39" s="4"/>
      <c r="I39" s="4" t="s">
        <v>60</v>
      </c>
      <c r="J39" s="16">
        <f>AVERAGE(J3:J37)</f>
        <v>36.631894846746164</v>
      </c>
      <c r="K39" s="4"/>
      <c r="L39" s="4" t="s">
        <v>60</v>
      </c>
      <c r="M39" s="16">
        <f>AVERAGE(M3:M37)</f>
        <v>29.80087409464095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abSelected="1" topLeftCell="A19" zoomScaleNormal="100" workbookViewId="0">
      <selection activeCell="F10" sqref="F10"/>
    </sheetView>
  </sheetViews>
  <sheetFormatPr baseColWidth="10" defaultRowHeight="15" x14ac:dyDescent="0.25"/>
  <sheetData>
    <row r="1" spans="1:3" x14ac:dyDescent="0.25">
      <c r="A1" s="9" t="s">
        <v>67</v>
      </c>
      <c r="B1" s="9" t="s">
        <v>68</v>
      </c>
      <c r="C1" s="9" t="s">
        <v>69</v>
      </c>
    </row>
    <row r="2" spans="1:3" x14ac:dyDescent="0.25">
      <c r="A2" s="9">
        <v>1</v>
      </c>
      <c r="B2" s="9">
        <v>6</v>
      </c>
      <c r="C2" s="9">
        <v>9</v>
      </c>
    </row>
    <row r="3" spans="1:3" x14ac:dyDescent="0.25">
      <c r="A3" s="9">
        <v>2</v>
      </c>
      <c r="B3" s="9">
        <v>7</v>
      </c>
      <c r="C3" s="9">
        <v>8</v>
      </c>
    </row>
    <row r="4" spans="1:3" x14ac:dyDescent="0.25">
      <c r="A4" s="9">
        <v>3</v>
      </c>
      <c r="B4" s="9">
        <v>10</v>
      </c>
      <c r="C4" s="9">
        <v>8</v>
      </c>
    </row>
    <row r="5" spans="1:3" x14ac:dyDescent="0.25">
      <c r="A5" s="9">
        <v>4</v>
      </c>
      <c r="B5" s="9">
        <v>12</v>
      </c>
      <c r="C5" s="9">
        <v>7</v>
      </c>
    </row>
    <row r="6" spans="1:3" x14ac:dyDescent="0.25">
      <c r="A6" s="9">
        <v>5</v>
      </c>
      <c r="B6" s="9">
        <v>14</v>
      </c>
      <c r="C6" s="9">
        <v>7</v>
      </c>
    </row>
    <row r="7" spans="1:3" x14ac:dyDescent="0.25">
      <c r="A7" s="9">
        <v>6</v>
      </c>
      <c r="B7" s="9">
        <v>17</v>
      </c>
      <c r="C7" s="9">
        <v>6</v>
      </c>
    </row>
    <row r="8" spans="1:3" x14ac:dyDescent="0.25">
      <c r="A8" s="9">
        <v>7</v>
      </c>
      <c r="B8" s="9">
        <v>18</v>
      </c>
      <c r="C8" s="9">
        <v>6</v>
      </c>
    </row>
    <row r="9" spans="1:3" x14ac:dyDescent="0.25">
      <c r="A9" s="9">
        <v>8</v>
      </c>
      <c r="B9" s="9">
        <v>20</v>
      </c>
      <c r="C9" s="9">
        <v>6</v>
      </c>
    </row>
    <row r="10" spans="1:3" x14ac:dyDescent="0.25">
      <c r="A10" s="9">
        <v>9</v>
      </c>
      <c r="B10" s="9">
        <v>21</v>
      </c>
      <c r="C10" s="9">
        <v>5</v>
      </c>
    </row>
    <row r="11" spans="1:3" x14ac:dyDescent="0.25">
      <c r="A11" s="9">
        <v>10</v>
      </c>
      <c r="B11" s="9">
        <v>23</v>
      </c>
      <c r="C11" s="9">
        <v>5</v>
      </c>
    </row>
    <row r="12" spans="1:3" x14ac:dyDescent="0.25">
      <c r="A12" s="9">
        <v>11</v>
      </c>
      <c r="B12" s="9">
        <v>6</v>
      </c>
      <c r="C12" s="9">
        <v>9</v>
      </c>
    </row>
    <row r="13" spans="1:3" x14ac:dyDescent="0.25">
      <c r="A13" s="9">
        <v>12</v>
      </c>
      <c r="B13" s="9">
        <v>9</v>
      </c>
      <c r="C13" s="9">
        <v>8</v>
      </c>
    </row>
    <row r="14" spans="1:3" x14ac:dyDescent="0.25">
      <c r="A14" s="9">
        <v>13</v>
      </c>
      <c r="B14" s="9">
        <v>12</v>
      </c>
      <c r="C14" s="9">
        <v>8</v>
      </c>
    </row>
    <row r="15" spans="1:3" x14ac:dyDescent="0.25">
      <c r="A15" s="9">
        <v>14</v>
      </c>
      <c r="B15" s="9">
        <v>14</v>
      </c>
      <c r="C15" s="9">
        <v>7</v>
      </c>
    </row>
    <row r="16" spans="1:3" x14ac:dyDescent="0.25">
      <c r="A16" s="9">
        <v>15</v>
      </c>
      <c r="B16" s="9">
        <v>15</v>
      </c>
      <c r="C16" s="9">
        <v>7</v>
      </c>
    </row>
    <row r="17" spans="1:13" x14ac:dyDescent="0.25">
      <c r="A17" s="9">
        <v>16</v>
      </c>
      <c r="B17" s="9">
        <v>17</v>
      </c>
      <c r="C17" s="9">
        <v>6</v>
      </c>
    </row>
    <row r="18" spans="1:13" x14ac:dyDescent="0.25">
      <c r="A18" s="9">
        <v>17</v>
      </c>
      <c r="B18" s="9">
        <v>20</v>
      </c>
      <c r="C18" s="9">
        <v>6</v>
      </c>
    </row>
    <row r="19" spans="1:13" x14ac:dyDescent="0.25">
      <c r="A19" s="9">
        <v>18</v>
      </c>
      <c r="B19" s="9">
        <v>21</v>
      </c>
      <c r="C19" s="9">
        <v>5</v>
      </c>
    </row>
    <row r="20" spans="1:13" x14ac:dyDescent="0.25">
      <c r="A20" s="9">
        <v>19</v>
      </c>
      <c r="B20" s="9">
        <v>22</v>
      </c>
      <c r="C20" s="9">
        <v>5</v>
      </c>
    </row>
    <row r="21" spans="1:13" x14ac:dyDescent="0.25">
      <c r="A21" s="9">
        <v>20</v>
      </c>
      <c r="B21" s="9">
        <v>25</v>
      </c>
      <c r="C21" s="9">
        <v>5</v>
      </c>
    </row>
    <row r="22" spans="1:13" x14ac:dyDescent="0.25">
      <c r="A22" s="9">
        <v>21</v>
      </c>
      <c r="B22" s="9">
        <v>7</v>
      </c>
      <c r="C22" s="9">
        <v>9</v>
      </c>
    </row>
    <row r="23" spans="1:13" x14ac:dyDescent="0.25">
      <c r="A23" s="9">
        <v>22</v>
      </c>
      <c r="B23" s="9">
        <v>8</v>
      </c>
      <c r="C23" s="9">
        <v>8</v>
      </c>
    </row>
    <row r="24" spans="1:13" x14ac:dyDescent="0.25">
      <c r="A24" s="9">
        <v>23</v>
      </c>
      <c r="B24" s="9">
        <v>11</v>
      </c>
      <c r="C24" s="9">
        <v>7</v>
      </c>
    </row>
    <row r="25" spans="1:13" x14ac:dyDescent="0.25">
      <c r="A25" s="9">
        <v>24</v>
      </c>
      <c r="B25" s="9">
        <v>13</v>
      </c>
      <c r="C25" s="9">
        <v>7</v>
      </c>
    </row>
    <row r="26" spans="1:13" x14ac:dyDescent="0.25">
      <c r="A26" s="9">
        <v>25</v>
      </c>
      <c r="B26" s="9">
        <v>15</v>
      </c>
      <c r="C26" s="9">
        <v>7</v>
      </c>
    </row>
    <row r="27" spans="1:13" x14ac:dyDescent="0.25">
      <c r="A27" s="9">
        <v>26</v>
      </c>
      <c r="B27" s="9">
        <v>17</v>
      </c>
      <c r="C27" s="9">
        <v>6</v>
      </c>
    </row>
    <row r="28" spans="1:13" x14ac:dyDescent="0.25">
      <c r="A28" s="9">
        <v>27</v>
      </c>
      <c r="B28" s="9">
        <v>19</v>
      </c>
      <c r="C28" s="9">
        <v>6</v>
      </c>
    </row>
    <row r="29" spans="1:13" x14ac:dyDescent="0.25">
      <c r="A29" s="9">
        <v>28</v>
      </c>
      <c r="B29" s="9">
        <v>22</v>
      </c>
      <c r="C29" s="9">
        <v>5</v>
      </c>
    </row>
    <row r="30" spans="1:13" x14ac:dyDescent="0.25">
      <c r="A30" s="9">
        <v>29</v>
      </c>
      <c r="B30" s="9">
        <v>23</v>
      </c>
      <c r="C30" s="9">
        <v>5</v>
      </c>
    </row>
    <row r="31" spans="1:13" x14ac:dyDescent="0.25">
      <c r="A31" s="9">
        <v>30</v>
      </c>
      <c r="B31" s="9">
        <v>25</v>
      </c>
      <c r="C31" s="9">
        <v>5</v>
      </c>
      <c r="E31">
        <f>CORREL(B2:B31,C2:C31)</f>
        <v>-0.96778532517193661</v>
      </c>
      <c r="I31" t="s">
        <v>70</v>
      </c>
      <c r="J31">
        <v>20</v>
      </c>
      <c r="L31" t="s">
        <v>71</v>
      </c>
      <c r="M31">
        <f>-0.2176*J31+10.001</f>
        <v>5.649</v>
      </c>
    </row>
    <row r="33" spans="9:13" x14ac:dyDescent="0.25">
      <c r="I33" t="s">
        <v>71</v>
      </c>
      <c r="J33">
        <v>9</v>
      </c>
      <c r="L33" t="s">
        <v>70</v>
      </c>
      <c r="M33">
        <f>(9-10.001)/(-0.2176)</f>
        <v>4.6001838235294095</v>
      </c>
    </row>
  </sheetData>
  <pageMargins left="0.7" right="0.7" top="0.75" bottom="0.75" header="0.3" footer="0.3"/>
  <pageSetup paperSize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2024-09-12T17:33:11Z</dcterms:created>
  <dcterms:modified xsi:type="dcterms:W3CDTF">2024-10-01T19:16:55Z</dcterms:modified>
</cp:coreProperties>
</file>