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s\OneDrive\Documents\"/>
    </mc:Choice>
  </mc:AlternateContent>
  <xr:revisionPtr revIDLastSave="0" documentId="13_ncr:1_{8DC8B748-23BC-4181-BCFC-62ED44F6D12A}" xr6:coauthVersionLast="47" xr6:coauthVersionMax="47" xr10:uidLastSave="{00000000-0000-0000-0000-000000000000}"/>
  <bookViews>
    <workbookView xWindow="-120" yWindow="-120" windowWidth="20730" windowHeight="11040" xr2:uid="{4184D37E-2AF7-4361-9D7C-B05BC65C99F2}"/>
  </bookViews>
  <sheets>
    <sheet name="Tema 1" sheetId="1" r:id="rId1"/>
    <sheet name="Tema 2" sheetId="4" r:id="rId2"/>
    <sheet name="Tema 3" sheetId="2" r:id="rId3"/>
    <sheet name="Tema 4" sheetId="3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2" l="1"/>
  <c r="J26" i="2"/>
  <c r="H7" i="2"/>
</calcChain>
</file>

<file path=xl/sharedStrings.xml><?xml version="1.0" encoding="utf-8"?>
<sst xmlns="http://schemas.openxmlformats.org/spreadsheetml/2006/main" count="216" uniqueCount="136">
  <si>
    <t>TEMA 1)</t>
  </si>
  <si>
    <t xml:space="preserve">Subsistema1 </t>
  </si>
  <si>
    <t>Subsistema 2</t>
  </si>
  <si>
    <t>Subsistema 3</t>
  </si>
  <si>
    <t>Parameter</t>
  </si>
  <si>
    <t>Value</t>
  </si>
  <si>
    <t>Seconds</t>
  </si>
  <si>
    <t>M/M/1  (exponential service times)</t>
  </si>
  <si>
    <t>Average server utilization</t>
  </si>
  <si>
    <t>Arrival rate(lambda)</t>
  </si>
  <si>
    <t>Average number in the queue(Lq)</t>
  </si>
  <si>
    <t>Service rate(mu)</t>
  </si>
  <si>
    <t>Average number in the system(L)</t>
  </si>
  <si>
    <t>Number of servers</t>
  </si>
  <si>
    <t>Average time in the queue(Wq)</t>
  </si>
  <si>
    <t>Average time in the system(W)</t>
  </si>
  <si>
    <t>Probability (% of time) system is empty (P0)</t>
  </si>
  <si>
    <t>MODELO:</t>
  </si>
  <si>
    <t>Minutes</t>
  </si>
  <si>
    <t>M/M/s</t>
  </si>
  <si>
    <t>M/M/1 exponencial</t>
  </si>
  <si>
    <t>M/M/6  exponencial</t>
  </si>
  <si>
    <t>M/M/2 exponencial</t>
  </si>
  <si>
    <t>Conclusiones</t>
  </si>
  <si>
    <t>b) Todos los sistemas son viables, dado que todos son capaces de recibir y manejar</t>
  </si>
  <si>
    <t xml:space="preserve"> la demanda esperada de 25 clientes sin llegar a colapsar</t>
  </si>
  <si>
    <t>c) La cantidad de clientes promedio es</t>
  </si>
  <si>
    <t>SIstema1</t>
  </si>
  <si>
    <t>Sistema 2</t>
  </si>
  <si>
    <t>Sistema 3</t>
  </si>
  <si>
    <t>d) Los tiempos promedio en el sistema son (en minutos):</t>
  </si>
  <si>
    <t>e) Suponiendo que la carga maxima por jornada es del 75%, entonces</t>
  </si>
  <si>
    <t>tanto los subsistemas 1 y 2 no cumplen la normativa, porque ambos tienen una carga de tiempo</t>
  </si>
  <si>
    <t>promedio del 83%.</t>
  </si>
  <si>
    <t>F y G)</t>
  </si>
  <si>
    <t>Desde el punto del lado de las regulaciones, si se recomienda aumentar el numero de servidores</t>
  </si>
  <si>
    <t>TEMA 3)</t>
  </si>
  <si>
    <t>Demand rate(D)</t>
  </si>
  <si>
    <t>Optimal order quantity (Q*)</t>
  </si>
  <si>
    <t>Setup/ordering cost(S)</t>
  </si>
  <si>
    <t>Maximum Inventory Level (Imax)</t>
  </si>
  <si>
    <t>Holding/carrying cost(H)</t>
  </si>
  <si>
    <t>Average inventory</t>
  </si>
  <si>
    <t>Unit cost</t>
  </si>
  <si>
    <t>Orders per period (N)</t>
  </si>
  <si>
    <t>Annual Setup cost</t>
  </si>
  <si>
    <t>Annual Holding cost</t>
  </si>
  <si>
    <t>Total Inventory (Holding + Setup) Cost</t>
  </si>
  <si>
    <t>Unit costs (PD)</t>
  </si>
  <si>
    <t>Total Cost (including units)</t>
  </si>
  <si>
    <t>MODELO EOQ</t>
  </si>
  <si>
    <t>MODELO CON DESCUENTO</t>
  </si>
  <si>
    <t>xxxxxxx</t>
  </si>
  <si>
    <t>From</t>
  </si>
  <si>
    <t>To</t>
  </si>
  <si>
    <t>Price</t>
  </si>
  <si>
    <t xml:space="preserve">La politica optima es de realizar ordenes de 58 unidades cada </t>
  </si>
  <si>
    <t>guaranies</t>
  </si>
  <si>
    <t xml:space="preserve">La politica optima es realizar ordenes de </t>
  </si>
  <si>
    <t>4,76 dias. El costo total asociado a esta politica es de</t>
  </si>
  <si>
    <t>800 unidades cada 66 dias</t>
  </si>
  <si>
    <t>El costo de esta politica es de</t>
  </si>
  <si>
    <t>MODELO POQ</t>
  </si>
  <si>
    <t>Optimal production quantity (Q*)</t>
  </si>
  <si>
    <t>Daily production rate(p)</t>
  </si>
  <si>
    <t>Production runs per period (year)</t>
  </si>
  <si>
    <t>Days per year (D/d)</t>
  </si>
  <si>
    <t>Daily demand rate</t>
  </si>
  <si>
    <t>La politica optima es de producir 254 unidades cada</t>
  </si>
  <si>
    <t>21,17 dias</t>
  </si>
  <si>
    <t xml:space="preserve">El costo total anual es de </t>
  </si>
  <si>
    <t>CONCLUSION</t>
  </si>
  <si>
    <t>La politica optima es la de producir los propios muebles</t>
  </si>
  <si>
    <t>ya que es la que (por lejos) minimiza los gastos de produccion</t>
  </si>
  <si>
    <t>elevando el margen de ganancias del producto</t>
  </si>
  <si>
    <t>Si se redujece el costo de almacenamiento de los productos</t>
  </si>
  <si>
    <t xml:space="preserve">la decision seguiria siendo la misma, puesto que de por si los costos de </t>
  </si>
  <si>
    <t>de cada mueble</t>
  </si>
  <si>
    <t>almacenamiento de la politica de produccion interna son los mas bajos.</t>
  </si>
  <si>
    <t>Ademas de que la diferencia sustancial se encuentra en el costo de produccion</t>
  </si>
  <si>
    <t>TEMA 4</t>
  </si>
  <si>
    <t>B) el punto de reorden revisado es de 420 unidades</t>
  </si>
  <si>
    <t>La existencia de seguridad es de 90 unidades</t>
  </si>
  <si>
    <t>c) El costo de retencion extra es de 180 dolares</t>
  </si>
  <si>
    <t>d) el punto de reorden nuevo seria de 445 unidades</t>
  </si>
  <si>
    <t>El nuevo nivel de existencia de seguridad es de 115 unidades</t>
  </si>
  <si>
    <t>El nuevo costo de retencion adicional es de 230</t>
  </si>
  <si>
    <t>e) EL nuevo punto de reorden es de 403 unidades</t>
  </si>
  <si>
    <t>El nivel de existencia de seguridad es de 73 unidades</t>
  </si>
  <si>
    <t>El costo adicional de retencion es de 146 dolares</t>
  </si>
  <si>
    <t xml:space="preserve">f) Desde el punto de vista economico el punto de reorden </t>
  </si>
  <si>
    <t>EL numero de agotamientos que se puede tolerar en  el mejor de estos</t>
  </si>
  <si>
    <t>En este caso, se pueden llegar a tolerar hasta 3 agotamientos</t>
  </si>
  <si>
    <t>mas conveniente es el de 403 unidades.</t>
  </si>
  <si>
    <t>Tema 2</t>
  </si>
  <si>
    <t>Problema 1</t>
  </si>
  <si>
    <t>Hora de apertura</t>
  </si>
  <si>
    <t>Satisfecho</t>
  </si>
  <si>
    <t>c</t>
  </si>
  <si>
    <t>1 servidor</t>
  </si>
  <si>
    <t>Tiempo entre llegadas</t>
  </si>
  <si>
    <t>Insatisfecho</t>
  </si>
  <si>
    <t>Tiempo de sevicio</t>
  </si>
  <si>
    <t>Límite de tiempo de espera satisfactorio</t>
  </si>
  <si>
    <t>Cliente</t>
  </si>
  <si>
    <t>Ri1</t>
  </si>
  <si>
    <t>Tiempo</t>
  </si>
  <si>
    <t>Momento de llegada</t>
  </si>
  <si>
    <t xml:space="preserve">Tiempo de Espera </t>
  </si>
  <si>
    <t>Ri2</t>
  </si>
  <si>
    <t xml:space="preserve">Tiempo de servicio </t>
  </si>
  <si>
    <t xml:space="preserve">Momento terminación del servicio </t>
  </si>
  <si>
    <t>Tiempo total en el sistema</t>
  </si>
  <si>
    <t>Tiempo de espera promedio acumulado</t>
  </si>
  <si>
    <t>Cliente satisfecho (si – no)</t>
  </si>
  <si>
    <t>Entre</t>
  </si>
  <si>
    <t>llegadas</t>
  </si>
  <si>
    <t>Satisfechos</t>
  </si>
  <si>
    <t>Insatisfechos</t>
  </si>
  <si>
    <t>Clientes</t>
  </si>
  <si>
    <t>Proporción de clienes</t>
  </si>
  <si>
    <t>Promedio de tiempo de espera</t>
  </si>
  <si>
    <t>N° de clientes</t>
  </si>
  <si>
    <t>Alpha</t>
  </si>
  <si>
    <t>Corresponde al 95% de confianza con nivel de significancia Alpha</t>
  </si>
  <si>
    <t>Desviación estándar</t>
  </si>
  <si>
    <t>Margen de Error</t>
  </si>
  <si>
    <t>Límite inferior</t>
  </si>
  <si>
    <t>Límite superior</t>
  </si>
  <si>
    <t>Como la proporcion de clientes insatisfechos es de 38%, entonces SI se recomienda ampliar la cantidad de vetanillas disponibles</t>
  </si>
  <si>
    <t>Podemos observar mediante la grafica que el modelo luego de un tiempo se comienza a estabilizar.</t>
  </si>
  <si>
    <t>Elias Gill Quintana</t>
  </si>
  <si>
    <t>Alexis Arce</t>
  </si>
  <si>
    <t>NOTA: es imagen para hacer copia y pega</t>
  </si>
  <si>
    <t>de ambos sistemas, ya que el tiempo de ocio de ambos no sera demasiado alto</t>
  </si>
  <si>
    <t>y permitira cumplir las regulaciones del gobierno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</si>
</sst>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0" xfId="0" applyFont="1"/>
    <xf numFmtId="21" fontId="0" fillId="0" borderId="0" xfId="0" applyNumberFormat="1"/>
    <xf numFmtId="0" fontId="0" fillId="0" borderId="1" xfId="0" applyBorder="1" applyAlignment="1">
      <alignment vertical="center" wrapText="1"/>
    </xf>
    <xf numFmtId="21" fontId="0" fillId="0" borderId="1" xfId="0" applyNumberFormat="1" applyBorder="1"/>
    <xf numFmtId="21" fontId="0" fillId="3" borderId="1" xfId="0" applyNumberFormat="1" applyFill="1" applyBorder="1"/>
    <xf numFmtId="10" fontId="0" fillId="0" borderId="0" xfId="0" applyNumberFormat="1"/>
    <xf numFmtId="164" fontId="0" fillId="0" borderId="1" xfId="0" applyNumberFormat="1" applyBorder="1"/>
    <xf numFmtId="9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285749</xdr:colOff>
      <xdr:row>53</xdr:row>
      <xdr:rowOff>153970</xdr:rowOff>
    </xdr:from>
    <xdr:to>
      <xdr:col>21</xdr:col>
      <xdr:colOff>142874</xdr:colOff>
      <xdr:row>69</xdr:row>
      <xdr:rowOff>123826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471CEFF-CF68-F940-1FA9-FCF8D1714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49" y="10250470"/>
          <a:ext cx="5191125" cy="30178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180975</xdr:rowOff>
    </xdr:from>
    <xdr:to>
      <xdr:col>10</xdr:col>
      <xdr:colOff>208762</xdr:colOff>
      <xdr:row>18</xdr:row>
      <xdr:rowOff>94832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0949C57-CED0-A3C1-2CDA-54470F687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80975"/>
          <a:ext cx="6304762" cy="33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600075</xdr:colOff>
      <xdr:row>24</xdr:row>
      <xdr:rowOff>9525</xdr:rowOff>
    </xdr:from>
    <xdr:to>
      <xdr:col>10</xdr:col>
      <xdr:colOff>46837</xdr:colOff>
      <xdr:row>41</xdr:row>
      <xdr:rowOff>113882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061EAE-6CCF-4437-798D-88071B8E5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2075" y="4581525"/>
          <a:ext cx="6304762" cy="334285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11</xdr:col>
      <xdr:colOff>208762</xdr:colOff>
      <xdr:row>65</xdr:row>
      <xdr:rowOff>104357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773DD26-FA39-85D7-0392-124E3240F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6000" y="9144000"/>
          <a:ext cx="6304762" cy="33428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lexisarce-eliasgilltema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A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DFCAE-D1B2-4E9E-B7E1-1C7DDE478D18}">
  <dimension ref="B2:P43"/>
  <sheetViews>
    <sheetView tabSelected="1" topLeftCell="D33" workbookViewId="0">
      <selection activeCell="J44" sqref="J44"/>
    </sheetView>
  </sheetViews>
  <sheetFormatPr baseColWidth="10" defaultRowHeight="15" x14ac:dyDescent="0.25"/>
  <cols>
    <col min="2" max="2" width="18.140625" customWidth="1"/>
    <col min="3" max="3" width="18.7109375" customWidth="1"/>
    <col min="4" max="4" width="19.42578125" customWidth="1"/>
    <col min="5" max="5" width="31.7109375" customWidth="1"/>
    <col min="6" max="6" width="26.85546875" customWidth="1"/>
    <col min="7" max="7" width="13.140625" customWidth="1"/>
    <col min="8" max="8" width="18.28515625" customWidth="1"/>
    <col min="10" max="10" width="20" customWidth="1"/>
    <col min="13" max="13" width="29.28515625" customWidth="1"/>
  </cols>
  <sheetData>
    <row r="2" spans="2:16" x14ac:dyDescent="0.25">
      <c r="E2" t="s">
        <v>131</v>
      </c>
      <c r="F2">
        <v>5223084</v>
      </c>
    </row>
    <row r="3" spans="2:16" x14ac:dyDescent="0.25">
      <c r="E3" t="s">
        <v>132</v>
      </c>
      <c r="F3">
        <v>5624840</v>
      </c>
    </row>
    <row r="4" spans="2:16" x14ac:dyDescent="0.25">
      <c r="C4" t="s">
        <v>0</v>
      </c>
    </row>
    <row r="7" spans="2:16" x14ac:dyDescent="0.25">
      <c r="C7" t="s">
        <v>1</v>
      </c>
      <c r="K7" t="s">
        <v>2</v>
      </c>
    </row>
    <row r="8" spans="2:16" x14ac:dyDescent="0.25">
      <c r="B8" t="s">
        <v>17</v>
      </c>
      <c r="C8" t="s">
        <v>20</v>
      </c>
      <c r="J8" t="s">
        <v>17</v>
      </c>
      <c r="K8" t="s">
        <v>22</v>
      </c>
    </row>
    <row r="10" spans="2:16" x14ac:dyDescent="0.25">
      <c r="B10" s="1" t="s">
        <v>4</v>
      </c>
      <c r="C10" s="1" t="s">
        <v>5</v>
      </c>
      <c r="D10" s="1"/>
      <c r="E10" s="1" t="s">
        <v>4</v>
      </c>
      <c r="F10" s="1" t="s">
        <v>5</v>
      </c>
      <c r="G10" s="1" t="s">
        <v>18</v>
      </c>
      <c r="H10" s="1" t="s">
        <v>6</v>
      </c>
      <c r="J10" s="1" t="s">
        <v>4</v>
      </c>
      <c r="K10" s="1" t="s">
        <v>5</v>
      </c>
      <c r="L10" s="1"/>
      <c r="M10" s="1" t="s">
        <v>4</v>
      </c>
      <c r="N10" s="1" t="s">
        <v>5</v>
      </c>
      <c r="O10" s="1" t="s">
        <v>18</v>
      </c>
      <c r="P10" s="1" t="s">
        <v>6</v>
      </c>
    </row>
    <row r="11" spans="2:16" x14ac:dyDescent="0.25">
      <c r="B11" s="1" t="s">
        <v>7</v>
      </c>
      <c r="C11" s="1"/>
      <c r="D11" s="1"/>
      <c r="E11" s="1" t="s">
        <v>8</v>
      </c>
      <c r="F11" s="1">
        <v>0.83</v>
      </c>
      <c r="G11" s="1"/>
      <c r="H11" s="1"/>
      <c r="J11" s="1" t="s">
        <v>19</v>
      </c>
      <c r="K11" s="1"/>
      <c r="L11" s="1"/>
      <c r="M11" s="1" t="s">
        <v>8</v>
      </c>
      <c r="N11" s="1">
        <v>0.83</v>
      </c>
      <c r="O11" s="1"/>
      <c r="P11" s="1"/>
    </row>
    <row r="12" spans="2:16" x14ac:dyDescent="0.25">
      <c r="B12" s="1" t="s">
        <v>9</v>
      </c>
      <c r="C12" s="1">
        <v>25</v>
      </c>
      <c r="D12" s="1"/>
      <c r="E12" s="1" t="s">
        <v>10</v>
      </c>
      <c r="F12" s="1">
        <v>4.17</v>
      </c>
      <c r="G12" s="1"/>
      <c r="H12" s="1"/>
      <c r="J12" s="1" t="s">
        <v>9</v>
      </c>
      <c r="K12" s="1">
        <v>25</v>
      </c>
      <c r="L12" s="1"/>
      <c r="M12" s="1" t="s">
        <v>10</v>
      </c>
      <c r="N12" s="1">
        <v>3.79</v>
      </c>
      <c r="O12" s="1"/>
      <c r="P12" s="1"/>
    </row>
    <row r="13" spans="2:16" x14ac:dyDescent="0.25">
      <c r="B13" s="1" t="s">
        <v>11</v>
      </c>
      <c r="C13" s="1">
        <v>30</v>
      </c>
      <c r="D13" s="1"/>
      <c r="E13" s="1" t="s">
        <v>12</v>
      </c>
      <c r="F13" s="1">
        <v>5</v>
      </c>
      <c r="G13" s="1"/>
      <c r="H13" s="1"/>
      <c r="J13" s="1" t="s">
        <v>11</v>
      </c>
      <c r="K13" s="1">
        <v>15</v>
      </c>
      <c r="L13" s="1"/>
      <c r="M13" s="1" t="s">
        <v>12</v>
      </c>
      <c r="N13" s="1">
        <v>5.45</v>
      </c>
      <c r="O13" s="1"/>
      <c r="P13" s="1"/>
    </row>
    <row r="14" spans="2:16" x14ac:dyDescent="0.25">
      <c r="B14" s="1" t="s">
        <v>13</v>
      </c>
      <c r="C14" s="1">
        <v>1</v>
      </c>
      <c r="D14" s="1"/>
      <c r="E14" s="1" t="s">
        <v>14</v>
      </c>
      <c r="F14" s="1">
        <v>0.17</v>
      </c>
      <c r="G14" s="1">
        <v>10</v>
      </c>
      <c r="H14" s="1">
        <v>600</v>
      </c>
      <c r="J14" s="1" t="s">
        <v>13</v>
      </c>
      <c r="K14" s="1">
        <v>2</v>
      </c>
      <c r="L14" s="1"/>
      <c r="M14" s="1" t="s">
        <v>14</v>
      </c>
      <c r="N14" s="1">
        <v>0.15</v>
      </c>
      <c r="O14" s="1">
        <v>9.09</v>
      </c>
      <c r="P14" s="1">
        <v>545.45000000000005</v>
      </c>
    </row>
    <row r="15" spans="2:16" x14ac:dyDescent="0.25">
      <c r="B15" s="1"/>
      <c r="C15" s="1"/>
      <c r="D15" s="1"/>
      <c r="E15" s="1" t="s">
        <v>15</v>
      </c>
      <c r="F15" s="1">
        <v>0.2</v>
      </c>
      <c r="G15" s="1">
        <v>12</v>
      </c>
      <c r="H15" s="1">
        <v>720</v>
      </c>
      <c r="J15" s="1"/>
      <c r="K15" s="1"/>
      <c r="L15" s="1"/>
      <c r="M15" s="1" t="s">
        <v>15</v>
      </c>
      <c r="N15" s="1">
        <v>0.22</v>
      </c>
      <c r="O15" s="1">
        <v>13.09</v>
      </c>
      <c r="P15" s="1">
        <v>785.45</v>
      </c>
    </row>
    <row r="16" spans="2:16" x14ac:dyDescent="0.25">
      <c r="B16" s="1"/>
      <c r="C16" s="1"/>
      <c r="D16" s="1"/>
      <c r="E16" s="1" t="s">
        <v>16</v>
      </c>
      <c r="F16" s="1">
        <v>0.17</v>
      </c>
      <c r="G16" s="1"/>
      <c r="H16" s="1"/>
      <c r="J16" s="1"/>
      <c r="K16" s="1"/>
      <c r="L16" s="1"/>
      <c r="M16" s="1" t="s">
        <v>16</v>
      </c>
      <c r="N16" s="1">
        <v>0.09</v>
      </c>
      <c r="O16" s="1"/>
      <c r="P16" s="1"/>
    </row>
    <row r="21" spans="2:13" x14ac:dyDescent="0.25">
      <c r="J21" s="2" t="s">
        <v>23</v>
      </c>
    </row>
    <row r="22" spans="2:13" x14ac:dyDescent="0.25">
      <c r="C22" t="s">
        <v>3</v>
      </c>
    </row>
    <row r="23" spans="2:13" x14ac:dyDescent="0.25">
      <c r="B23" t="s">
        <v>17</v>
      </c>
      <c r="C23" t="s">
        <v>21</v>
      </c>
      <c r="J23" t="s">
        <v>24</v>
      </c>
    </row>
    <row r="24" spans="2:13" x14ac:dyDescent="0.25">
      <c r="J24" t="s">
        <v>25</v>
      </c>
    </row>
    <row r="25" spans="2:13" x14ac:dyDescent="0.25">
      <c r="B25" s="1" t="s">
        <v>4</v>
      </c>
      <c r="C25" s="1" t="s">
        <v>5</v>
      </c>
      <c r="D25" s="1"/>
      <c r="E25" s="1" t="s">
        <v>4</v>
      </c>
      <c r="F25" s="1" t="s">
        <v>5</v>
      </c>
      <c r="G25" s="1" t="s">
        <v>18</v>
      </c>
      <c r="H25" s="1" t="s">
        <v>6</v>
      </c>
    </row>
    <row r="26" spans="2:13" x14ac:dyDescent="0.25">
      <c r="B26" s="1" t="s">
        <v>19</v>
      </c>
      <c r="C26" s="1"/>
      <c r="D26" s="1"/>
      <c r="E26" s="1" t="s">
        <v>8</v>
      </c>
      <c r="F26" s="1">
        <v>0.69</v>
      </c>
      <c r="G26" s="1"/>
      <c r="H26" s="1"/>
      <c r="J26" t="s">
        <v>26</v>
      </c>
    </row>
    <row r="27" spans="2:13" x14ac:dyDescent="0.25">
      <c r="B27" s="1" t="s">
        <v>9</v>
      </c>
      <c r="C27" s="1">
        <v>25</v>
      </c>
      <c r="D27" s="1"/>
      <c r="E27" s="1" t="s">
        <v>10</v>
      </c>
      <c r="F27" s="1">
        <v>0.74</v>
      </c>
      <c r="G27" s="1"/>
      <c r="H27" s="1"/>
    </row>
    <row r="28" spans="2:13" x14ac:dyDescent="0.25">
      <c r="B28" s="1" t="s">
        <v>11</v>
      </c>
      <c r="C28" s="1">
        <v>6</v>
      </c>
      <c r="D28" s="1"/>
      <c r="E28" s="1" t="s">
        <v>12</v>
      </c>
      <c r="F28" s="1">
        <v>4.91</v>
      </c>
      <c r="G28" s="1"/>
      <c r="H28" s="1"/>
      <c r="K28" s="1" t="s">
        <v>27</v>
      </c>
      <c r="L28" s="1" t="s">
        <v>28</v>
      </c>
      <c r="M28" s="1" t="s">
        <v>29</v>
      </c>
    </row>
    <row r="29" spans="2:13" x14ac:dyDescent="0.25">
      <c r="B29" s="1" t="s">
        <v>13</v>
      </c>
      <c r="C29" s="1">
        <v>6</v>
      </c>
      <c r="D29" s="1"/>
      <c r="E29" s="1" t="s">
        <v>14</v>
      </c>
      <c r="F29" s="1">
        <v>0.03</v>
      </c>
      <c r="G29" s="1">
        <v>1.78</v>
      </c>
      <c r="H29" s="1">
        <v>107.05</v>
      </c>
      <c r="K29" s="1">
        <v>5</v>
      </c>
      <c r="L29" s="1">
        <v>5.45</v>
      </c>
      <c r="M29" s="1">
        <v>4.91</v>
      </c>
    </row>
    <row r="30" spans="2:13" x14ac:dyDescent="0.25">
      <c r="B30" s="1"/>
      <c r="C30" s="1"/>
      <c r="D30" s="1"/>
      <c r="E30" s="1" t="s">
        <v>15</v>
      </c>
      <c r="F30" s="1">
        <v>0.2</v>
      </c>
      <c r="G30" s="1">
        <v>11.78</v>
      </c>
      <c r="H30" s="1">
        <v>707.05</v>
      </c>
    </row>
    <row r="31" spans="2:13" x14ac:dyDescent="0.25">
      <c r="B31" s="1"/>
      <c r="C31" s="1"/>
      <c r="D31" s="1"/>
      <c r="E31" s="1" t="s">
        <v>16</v>
      </c>
      <c r="F31" s="1">
        <v>0.01</v>
      </c>
      <c r="G31" s="1"/>
      <c r="H31" s="1"/>
      <c r="J31" t="s">
        <v>30</v>
      </c>
    </row>
    <row r="33" spans="10:13" x14ac:dyDescent="0.25">
      <c r="K33" s="1" t="s">
        <v>27</v>
      </c>
      <c r="L33" s="1" t="s">
        <v>28</v>
      </c>
      <c r="M33" s="1" t="s">
        <v>29</v>
      </c>
    </row>
    <row r="34" spans="10:13" x14ac:dyDescent="0.25">
      <c r="K34" s="1">
        <v>12</v>
      </c>
      <c r="L34" s="1">
        <v>13.09</v>
      </c>
      <c r="M34" s="1">
        <v>11.78</v>
      </c>
    </row>
    <row r="36" spans="10:13" x14ac:dyDescent="0.25">
      <c r="J36" t="s">
        <v>31</v>
      </c>
    </row>
    <row r="37" spans="10:13" x14ac:dyDescent="0.25">
      <c r="J37" t="s">
        <v>32</v>
      </c>
    </row>
    <row r="38" spans="10:13" x14ac:dyDescent="0.25">
      <c r="J38" t="s">
        <v>33</v>
      </c>
    </row>
    <row r="40" spans="10:13" x14ac:dyDescent="0.25">
      <c r="J40" t="s">
        <v>34</v>
      </c>
    </row>
    <row r="41" spans="10:13" x14ac:dyDescent="0.25">
      <c r="J41" t="s">
        <v>35</v>
      </c>
    </row>
    <row r="42" spans="10:13" x14ac:dyDescent="0.25">
      <c r="J42" t="s">
        <v>134</v>
      </c>
    </row>
    <row r="43" spans="10:13" x14ac:dyDescent="0.25">
      <c r="J4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1F7B5-E510-467D-A4F9-7AAB32DBC5B3}">
  <dimension ref="A1:S81"/>
  <sheetViews>
    <sheetView topLeftCell="H59" workbookViewId="0">
      <selection activeCell="W63" sqref="W63"/>
    </sheetView>
  </sheetViews>
  <sheetFormatPr baseColWidth="10" defaultRowHeight="15" x14ac:dyDescent="0.25"/>
  <sheetData>
    <row r="1" spans="1:1" x14ac:dyDescent="0.25">
      <c r="A1" t="s">
        <v>94</v>
      </c>
    </row>
    <row r="25" spans="3:18" x14ac:dyDescent="0.25">
      <c r="C25" t="s">
        <v>95</v>
      </c>
      <c r="I25" t="s">
        <v>96</v>
      </c>
      <c r="K25" s="3">
        <v>0.33333333333333331</v>
      </c>
      <c r="M25" t="s">
        <v>97</v>
      </c>
      <c r="N25">
        <v>1</v>
      </c>
    </row>
    <row r="26" spans="3:18" x14ac:dyDescent="0.25">
      <c r="C26" t="s">
        <v>98</v>
      </c>
      <c r="D26" t="s">
        <v>99</v>
      </c>
      <c r="F26" t="s">
        <v>100</v>
      </c>
      <c r="H26" s="3">
        <v>6.9444444444444441E-3</v>
      </c>
      <c r="K26" s="3"/>
      <c r="M26" s="3" t="s">
        <v>101</v>
      </c>
      <c r="N26">
        <v>0</v>
      </c>
    </row>
    <row r="27" spans="3:18" x14ac:dyDescent="0.25">
      <c r="F27" t="s">
        <v>102</v>
      </c>
      <c r="H27" s="3">
        <v>5.5555555555555558E-3</v>
      </c>
      <c r="K27" t="s">
        <v>103</v>
      </c>
      <c r="N27" s="3">
        <v>1.0416666666666666E-2</v>
      </c>
    </row>
    <row r="29" spans="3:18" x14ac:dyDescent="0.25">
      <c r="C29" s="11" t="s">
        <v>104</v>
      </c>
      <c r="D29" s="11" t="s">
        <v>105</v>
      </c>
      <c r="E29" s="10" t="s">
        <v>106</v>
      </c>
      <c r="F29" s="12" t="s">
        <v>107</v>
      </c>
      <c r="G29" s="12" t="s">
        <v>108</v>
      </c>
      <c r="H29" s="11" t="s">
        <v>109</v>
      </c>
      <c r="I29" s="11" t="s">
        <v>110</v>
      </c>
      <c r="J29" s="11" t="s">
        <v>111</v>
      </c>
      <c r="K29" s="11" t="s">
        <v>112</v>
      </c>
      <c r="L29" s="11" t="s">
        <v>113</v>
      </c>
      <c r="M29" s="11" t="s">
        <v>114</v>
      </c>
    </row>
    <row r="30" spans="3:18" x14ac:dyDescent="0.25">
      <c r="C30" s="11"/>
      <c r="D30" s="11"/>
      <c r="E30" s="10" t="s">
        <v>115</v>
      </c>
      <c r="F30" s="12"/>
      <c r="G30" s="12"/>
      <c r="H30" s="11"/>
      <c r="I30" s="11"/>
      <c r="J30" s="11"/>
      <c r="K30" s="11"/>
      <c r="L30" s="11"/>
      <c r="M30" s="11"/>
    </row>
    <row r="31" spans="3:18" x14ac:dyDescent="0.25">
      <c r="C31" s="11"/>
      <c r="D31" s="11"/>
      <c r="E31" s="10" t="s">
        <v>116</v>
      </c>
      <c r="F31" s="12"/>
      <c r="G31" s="12"/>
      <c r="H31" s="11"/>
      <c r="I31" s="11"/>
      <c r="J31" s="11"/>
      <c r="K31" s="11"/>
      <c r="L31" s="11"/>
      <c r="M31" s="11"/>
      <c r="Q31" t="s">
        <v>117</v>
      </c>
      <c r="R31" t="s">
        <v>118</v>
      </c>
    </row>
    <row r="32" spans="3:18" x14ac:dyDescent="0.25">
      <c r="C32" s="4">
        <v>1</v>
      </c>
      <c r="D32" s="1">
        <v>8.5730218267482172E-2</v>
      </c>
      <c r="E32" s="5">
        <v>6.2242767410822404E-4</v>
      </c>
      <c r="F32" s="6">
        <v>0.33395576100744157</v>
      </c>
      <c r="G32" s="6">
        <v>0</v>
      </c>
      <c r="H32" s="1">
        <v>0.64449498801364369</v>
      </c>
      <c r="I32" s="5">
        <v>5.7456440634651041E-3</v>
      </c>
      <c r="J32" s="5">
        <v>0.33970140507090668</v>
      </c>
      <c r="K32" s="5">
        <v>5.7456440634651162E-3</v>
      </c>
      <c r="L32" s="5">
        <v>0</v>
      </c>
      <c r="M32" s="1">
        <v>1</v>
      </c>
      <c r="N32" t="s">
        <v>119</v>
      </c>
      <c r="Q32">
        <v>31</v>
      </c>
      <c r="R32">
        <v>19</v>
      </c>
    </row>
    <row r="33" spans="3:19" x14ac:dyDescent="0.25">
      <c r="C33" s="1">
        <v>2</v>
      </c>
      <c r="D33" s="1">
        <v>0.83798304945655389</v>
      </c>
      <c r="E33" s="5">
        <v>1.2639266084994213E-2</v>
      </c>
      <c r="F33" s="5">
        <v>0.34659502709243578</v>
      </c>
      <c r="G33" s="5">
        <v>0</v>
      </c>
      <c r="H33" s="1">
        <v>0.67759365698239471</v>
      </c>
      <c r="I33" s="5">
        <v>6.288569967616538E-3</v>
      </c>
      <c r="J33" s="5">
        <v>0.35288359706005235</v>
      </c>
      <c r="K33" s="5">
        <v>6.2885699676165641E-3</v>
      </c>
      <c r="L33" s="5">
        <v>0</v>
      </c>
      <c r="M33" s="1">
        <v>1</v>
      </c>
      <c r="N33" t="s">
        <v>120</v>
      </c>
      <c r="Q33" s="9">
        <v>0.62</v>
      </c>
      <c r="R33" s="7">
        <v>0.38</v>
      </c>
    </row>
    <row r="34" spans="3:19" x14ac:dyDescent="0.25">
      <c r="C34" s="1">
        <v>3</v>
      </c>
      <c r="D34" s="1">
        <v>0.10017307277987919</v>
      </c>
      <c r="E34" s="5">
        <v>7.3300581416104696E-4</v>
      </c>
      <c r="F34" s="5">
        <v>0.34732803290659681</v>
      </c>
      <c r="G34" s="5">
        <v>5.5555641534555389E-3</v>
      </c>
      <c r="H34" s="1">
        <v>0.65943820784401463</v>
      </c>
      <c r="I34" s="5">
        <v>5.9842149727584405E-3</v>
      </c>
      <c r="J34" s="5">
        <v>0.35886781203281076</v>
      </c>
      <c r="K34" s="5">
        <v>1.1539779126213956E-2</v>
      </c>
      <c r="L34" s="5">
        <v>1.851854717818513E-3</v>
      </c>
      <c r="M34" s="1">
        <v>1</v>
      </c>
    </row>
    <row r="35" spans="3:19" x14ac:dyDescent="0.25">
      <c r="C35" s="4">
        <v>4</v>
      </c>
      <c r="D35" s="1">
        <v>0.57680866947656739</v>
      </c>
      <c r="E35" s="5">
        <v>5.9717422512397221E-3</v>
      </c>
      <c r="F35" s="5">
        <v>0.3532997751578365</v>
      </c>
      <c r="G35" s="5">
        <v>5.5680368749742581E-3</v>
      </c>
      <c r="H35" s="1">
        <v>0.34076587802250713</v>
      </c>
      <c r="I35" s="5">
        <v>2.3148696612107921E-3</v>
      </c>
      <c r="J35" s="5">
        <v>0.36118268169402157</v>
      </c>
      <c r="K35" s="5">
        <v>7.8829065361850637E-3</v>
      </c>
      <c r="L35" s="5">
        <v>2.7809002571074493E-3</v>
      </c>
      <c r="M35" s="1">
        <v>1</v>
      </c>
      <c r="O35" s="1" t="s">
        <v>121</v>
      </c>
      <c r="P35" s="1"/>
      <c r="Q35" s="1"/>
      <c r="R35" s="5">
        <v>1.675303056272362E-2</v>
      </c>
    </row>
    <row r="36" spans="3:19" x14ac:dyDescent="0.25">
      <c r="C36" s="1">
        <v>5</v>
      </c>
      <c r="D36" s="1">
        <v>0.62770369191027675</v>
      </c>
      <c r="E36" s="5">
        <v>6.8615639905934313E-3</v>
      </c>
      <c r="F36" s="5">
        <v>0.36016133914842996</v>
      </c>
      <c r="G36" s="5">
        <v>1.0213425455916081E-3</v>
      </c>
      <c r="H36" s="1">
        <v>0.49587536863786086</v>
      </c>
      <c r="I36" s="5">
        <v>3.8051764279546634E-3</v>
      </c>
      <c r="J36" s="5">
        <v>0.36498785812197621</v>
      </c>
      <c r="K36" s="5">
        <v>4.8265189735462455E-3</v>
      </c>
      <c r="L36" s="5">
        <v>2.4289887148042809E-3</v>
      </c>
      <c r="M36" s="1">
        <v>1</v>
      </c>
      <c r="O36" s="1" t="s">
        <v>122</v>
      </c>
      <c r="P36" s="1"/>
      <c r="Q36" s="1"/>
      <c r="R36" s="1">
        <v>50</v>
      </c>
    </row>
    <row r="37" spans="3:19" x14ac:dyDescent="0.25">
      <c r="C37" s="1">
        <v>6</v>
      </c>
      <c r="D37" s="1">
        <v>0.58594360731219997</v>
      </c>
      <c r="E37" s="5">
        <v>6.1232854181347092E-3</v>
      </c>
      <c r="F37" s="5">
        <v>0.36628462456656469</v>
      </c>
      <c r="G37" s="5">
        <v>0</v>
      </c>
      <c r="H37" s="1">
        <v>0.66146595584599432</v>
      </c>
      <c r="I37" s="5">
        <v>6.0173923228629645E-3</v>
      </c>
      <c r="J37" s="5">
        <v>0.37230201688942766</v>
      </c>
      <c r="K37" s="5">
        <v>6.0173923228629689E-3</v>
      </c>
      <c r="L37" s="5">
        <v>2.0241572623369009E-3</v>
      </c>
      <c r="M37" s="1">
        <v>1</v>
      </c>
      <c r="O37" s="1" t="s">
        <v>123</v>
      </c>
      <c r="P37" s="1"/>
      <c r="Q37" s="1"/>
      <c r="R37" s="1">
        <v>0.05</v>
      </c>
      <c r="S37" t="s">
        <v>124</v>
      </c>
    </row>
    <row r="38" spans="3:19" x14ac:dyDescent="0.25">
      <c r="C38" s="4">
        <v>7</v>
      </c>
      <c r="D38" s="1">
        <v>9.101213372621797E-2</v>
      </c>
      <c r="E38" s="5">
        <v>6.6266342588494783E-4</v>
      </c>
      <c r="F38" s="5">
        <v>0.36694728799244963</v>
      </c>
      <c r="G38" s="5">
        <v>5.3547288969780227E-3</v>
      </c>
      <c r="H38" s="1">
        <v>0.50129724895872685</v>
      </c>
      <c r="I38" s="5">
        <v>3.8652502778890202E-3</v>
      </c>
      <c r="J38" s="5">
        <v>0.37616726716731669</v>
      </c>
      <c r="K38" s="5">
        <v>9.2199791748670545E-3</v>
      </c>
      <c r="L38" s="5">
        <v>2.4999532101427752E-3</v>
      </c>
      <c r="M38" s="1">
        <v>1</v>
      </c>
      <c r="O38" s="1" t="s">
        <v>125</v>
      </c>
      <c r="P38" s="1"/>
      <c r="Q38" s="1"/>
      <c r="R38" s="8">
        <v>1.2427343170685889E-2</v>
      </c>
    </row>
    <row r="39" spans="3:19" x14ac:dyDescent="0.25">
      <c r="C39" s="1">
        <v>8</v>
      </c>
      <c r="D39" s="1">
        <v>0.4009630799123215</v>
      </c>
      <c r="E39" s="5">
        <v>3.5585558788864282E-3</v>
      </c>
      <c r="F39" s="5">
        <v>0.37050584387133606</v>
      </c>
      <c r="G39" s="5">
        <v>5.6614232959806277E-3</v>
      </c>
      <c r="H39" s="1">
        <v>0.98503756584874713</v>
      </c>
      <c r="I39" s="5">
        <v>2.3345625605702792E-2</v>
      </c>
      <c r="J39" s="5">
        <v>0.39951289277301949</v>
      </c>
      <c r="K39" s="5">
        <v>2.900704890168343E-2</v>
      </c>
      <c r="L39" s="5">
        <v>2.8951369708725069E-3</v>
      </c>
      <c r="M39" s="1">
        <v>1</v>
      </c>
      <c r="O39" s="1" t="s">
        <v>126</v>
      </c>
      <c r="P39" s="1"/>
      <c r="Q39" s="1"/>
      <c r="R39" s="8">
        <v>3.4446204853518844E-3</v>
      </c>
    </row>
    <row r="40" spans="3:19" x14ac:dyDescent="0.25">
      <c r="C40" s="1">
        <v>9</v>
      </c>
      <c r="D40" s="1">
        <v>0.32923277765518333</v>
      </c>
      <c r="E40" s="5">
        <v>2.773146623304446E-3</v>
      </c>
      <c r="F40" s="5">
        <v>0.37327899049464053</v>
      </c>
      <c r="G40" s="5">
        <v>2.6233902278378962E-2</v>
      </c>
      <c r="H40" s="1">
        <v>0.35914429675129766</v>
      </c>
      <c r="I40" s="5">
        <v>2.4719497741081333E-3</v>
      </c>
      <c r="J40" s="5">
        <v>0.40198484254712763</v>
      </c>
      <c r="K40" s="5">
        <v>2.8705852052487102E-2</v>
      </c>
      <c r="L40" s="5">
        <v>5.4883331161510018E-3</v>
      </c>
      <c r="M40" s="1">
        <v>0</v>
      </c>
      <c r="O40" s="1"/>
      <c r="P40" s="1"/>
      <c r="Q40" s="1"/>
      <c r="R40" s="1"/>
    </row>
    <row r="41" spans="3:19" x14ac:dyDescent="0.25">
      <c r="C41" s="4">
        <v>10</v>
      </c>
      <c r="D41" s="1">
        <v>0.12947434120900914</v>
      </c>
      <c r="E41" s="5">
        <v>9.6290308531442749E-4</v>
      </c>
      <c r="F41" s="5">
        <v>0.37424189357995497</v>
      </c>
      <c r="G41" s="5">
        <v>2.7742948967172665E-2</v>
      </c>
      <c r="H41" s="1">
        <v>8.666390606086205E-2</v>
      </c>
      <c r="I41" s="5">
        <v>5.0361858728666011E-4</v>
      </c>
      <c r="J41" s="5">
        <v>0.40248846113441428</v>
      </c>
      <c r="K41" s="5">
        <v>2.8246567554459312E-2</v>
      </c>
      <c r="L41" s="5">
        <v>7.7137947012531679E-3</v>
      </c>
      <c r="M41" s="1">
        <v>0</v>
      </c>
      <c r="O41" s="1" t="s">
        <v>127</v>
      </c>
      <c r="P41" s="1"/>
      <c r="Q41" s="1"/>
      <c r="R41" s="5">
        <v>1.3308410077371735E-2</v>
      </c>
    </row>
    <row r="42" spans="3:19" x14ac:dyDescent="0.25">
      <c r="C42" s="1">
        <v>11</v>
      </c>
      <c r="D42" s="1">
        <v>0.88921316234119996</v>
      </c>
      <c r="E42" s="5">
        <v>1.5278800732073773E-2</v>
      </c>
      <c r="F42" s="5">
        <v>0.38952069431202874</v>
      </c>
      <c r="G42" s="5">
        <v>1.296776682238554E-2</v>
      </c>
      <c r="H42" s="1">
        <v>0.49541422447103489</v>
      </c>
      <c r="I42" s="5">
        <v>3.8000968487238011E-3</v>
      </c>
      <c r="J42" s="5">
        <v>0.40628855798313807</v>
      </c>
      <c r="K42" s="5">
        <v>1.6767863671109329E-2</v>
      </c>
      <c r="L42" s="5">
        <v>8.1914285304470202E-3</v>
      </c>
      <c r="M42" s="1">
        <v>0</v>
      </c>
      <c r="O42" s="1" t="s">
        <v>128</v>
      </c>
      <c r="P42" s="1"/>
      <c r="Q42" s="1"/>
      <c r="R42" s="5">
        <v>2.0197651048075506E-2</v>
      </c>
    </row>
    <row r="43" spans="3:19" x14ac:dyDescent="0.25">
      <c r="C43" s="1">
        <v>12</v>
      </c>
      <c r="D43" s="1">
        <v>0.64877328536626466</v>
      </c>
      <c r="E43" s="5">
        <v>7.2661343985371057E-3</v>
      </c>
      <c r="F43" s="5">
        <v>0.39678682871056586</v>
      </c>
      <c r="G43" s="5">
        <v>9.5017292725722013E-3</v>
      </c>
      <c r="H43" s="1">
        <v>0.75445591616554253</v>
      </c>
      <c r="I43" s="5">
        <v>7.8015487795227061E-3</v>
      </c>
      <c r="J43" s="5">
        <v>0.41409010676266078</v>
      </c>
      <c r="K43" s="5">
        <v>1.7303278052094917E-2</v>
      </c>
      <c r="L43" s="5">
        <v>8.3006202589574526E-3</v>
      </c>
      <c r="M43" s="1">
        <v>1</v>
      </c>
    </row>
    <row r="44" spans="3:19" x14ac:dyDescent="0.25">
      <c r="C44" s="4">
        <v>13</v>
      </c>
      <c r="D44" s="1">
        <v>0.2509255915290397</v>
      </c>
      <c r="E44" s="5">
        <v>2.0063677544877112E-3</v>
      </c>
      <c r="F44" s="5">
        <v>0.39879319646505357</v>
      </c>
      <c r="G44" s="5">
        <v>1.5296910297607214E-2</v>
      </c>
      <c r="H44" s="1">
        <v>6.3621037425225735E-2</v>
      </c>
      <c r="I44" s="5">
        <v>3.651944994357155E-4</v>
      </c>
      <c r="J44" s="5">
        <v>0.41445530126209651</v>
      </c>
      <c r="K44" s="5">
        <v>1.5662104797042942E-2</v>
      </c>
      <c r="L44" s="5">
        <v>8.8387964157766643E-3</v>
      </c>
      <c r="M44" s="1">
        <v>0</v>
      </c>
      <c r="O44" s="2" t="s">
        <v>23</v>
      </c>
    </row>
    <row r="45" spans="3:19" x14ac:dyDescent="0.25">
      <c r="C45" s="1">
        <v>14</v>
      </c>
      <c r="D45" s="1">
        <v>0.16095663469269561</v>
      </c>
      <c r="E45" s="5">
        <v>1.2187006038388382E-3</v>
      </c>
      <c r="F45" s="5">
        <v>0.4000118970688924</v>
      </c>
      <c r="G45" s="5">
        <v>1.4443404193204112E-2</v>
      </c>
      <c r="H45" s="1">
        <v>1.3822177297569405E-2</v>
      </c>
      <c r="I45" s="5">
        <v>7.7325517065451676E-5</v>
      </c>
      <c r="J45" s="5">
        <v>0.41453262677916197</v>
      </c>
      <c r="K45" s="5">
        <v>1.4520729710269575E-2</v>
      </c>
      <c r="L45" s="5">
        <v>9.2391255427357686E-3</v>
      </c>
      <c r="M45" s="1">
        <v>0</v>
      </c>
      <c r="O45" t="s">
        <v>129</v>
      </c>
    </row>
    <row r="46" spans="3:19" x14ac:dyDescent="0.25">
      <c r="C46" s="1">
        <v>15</v>
      </c>
      <c r="D46" s="1">
        <v>0.71661206290460588</v>
      </c>
      <c r="E46" s="5">
        <v>8.756517483150152E-3</v>
      </c>
      <c r="F46" s="5">
        <v>0.40876841455204255</v>
      </c>
      <c r="G46" s="5">
        <v>5.7642122271194252E-3</v>
      </c>
      <c r="H46" s="1">
        <v>0.54107200910687114</v>
      </c>
      <c r="I46" s="5">
        <v>4.3270109100818225E-3</v>
      </c>
      <c r="J46" s="5">
        <v>0.41885963768924378</v>
      </c>
      <c r="K46" s="5">
        <v>1.0091223137201233E-2</v>
      </c>
      <c r="L46" s="5">
        <v>9.0074646550280125E-3</v>
      </c>
      <c r="M46" s="1">
        <v>1</v>
      </c>
    </row>
    <row r="47" spans="3:19" x14ac:dyDescent="0.25">
      <c r="C47" s="4">
        <v>16</v>
      </c>
      <c r="D47" s="1">
        <v>0.43758072118614677</v>
      </c>
      <c r="E47" s="5">
        <v>3.9965809689737576E-3</v>
      </c>
      <c r="F47" s="5">
        <v>0.41276499552101631</v>
      </c>
      <c r="G47" s="5">
        <v>6.094642168227471E-3</v>
      </c>
      <c r="H47" s="1">
        <v>0.97953170393095079</v>
      </c>
      <c r="I47" s="5">
        <v>2.1604878462065533E-2</v>
      </c>
      <c r="J47" s="5">
        <v>0.44046451615130933</v>
      </c>
      <c r="K47" s="5">
        <v>2.7699520630293017E-2</v>
      </c>
      <c r="L47" s="5">
        <v>8.8254132496029779E-3</v>
      </c>
      <c r="M47" s="1">
        <v>1</v>
      </c>
    </row>
    <row r="48" spans="3:19" x14ac:dyDescent="0.25">
      <c r="C48" s="1">
        <v>17</v>
      </c>
      <c r="D48" s="1">
        <v>9.617970102756257E-2</v>
      </c>
      <c r="E48" s="5">
        <v>7.0225501856046994E-4</v>
      </c>
      <c r="F48" s="5">
        <v>0.41346725053957678</v>
      </c>
      <c r="G48" s="5">
        <v>2.6997265611732546E-2</v>
      </c>
      <c r="H48" s="1">
        <v>0.49474897018569997</v>
      </c>
      <c r="I48" s="5">
        <v>3.792777135962609E-3</v>
      </c>
      <c r="J48" s="5">
        <v>0.44425729328727193</v>
      </c>
      <c r="K48" s="5">
        <v>3.0790042747695145E-2</v>
      </c>
      <c r="L48" s="5">
        <v>9.8943457414929527E-3</v>
      </c>
      <c r="M48" s="1">
        <v>0</v>
      </c>
      <c r="O48" t="s">
        <v>130</v>
      </c>
    </row>
    <row r="49" spans="3:13" x14ac:dyDescent="0.25">
      <c r="C49" s="1">
        <v>18</v>
      </c>
      <c r="D49" s="1">
        <v>0.14733725694028688</v>
      </c>
      <c r="E49" s="5">
        <v>1.1068832437077967E-3</v>
      </c>
      <c r="F49" s="5">
        <v>0.41457413378328456</v>
      </c>
      <c r="G49" s="5">
        <v>2.9683159503987366E-2</v>
      </c>
      <c r="H49" s="1">
        <v>9.9957799672338754E-2</v>
      </c>
      <c r="I49" s="5">
        <v>5.8507570835631122E-4</v>
      </c>
      <c r="J49" s="5">
        <v>0.44484236899562823</v>
      </c>
      <c r="K49" s="5">
        <v>3.0268235212343675E-2</v>
      </c>
      <c r="L49" s="5">
        <v>1.0993724283853753E-2</v>
      </c>
      <c r="M49" s="1">
        <v>0</v>
      </c>
    </row>
    <row r="50" spans="3:13" x14ac:dyDescent="0.25">
      <c r="C50" s="4">
        <v>19</v>
      </c>
      <c r="D50" s="1">
        <v>0.24241864693807191</v>
      </c>
      <c r="E50" s="5">
        <v>1.9279468790542435E-3</v>
      </c>
      <c r="F50" s="5">
        <v>0.41650208066233879</v>
      </c>
      <c r="G50" s="5">
        <v>2.8340288333289443E-2</v>
      </c>
      <c r="H50" s="1">
        <v>0.48960829254211602</v>
      </c>
      <c r="I50" s="5">
        <v>3.736537745706597E-3</v>
      </c>
      <c r="J50" s="5">
        <v>0.44857890674133483</v>
      </c>
      <c r="K50" s="5">
        <v>3.2076826078996035E-2</v>
      </c>
      <c r="L50" s="5">
        <v>1.190670133908721E-2</v>
      </c>
      <c r="M50" s="1">
        <v>0</v>
      </c>
    </row>
    <row r="51" spans="3:13" x14ac:dyDescent="0.25">
      <c r="C51" s="1">
        <v>20</v>
      </c>
      <c r="D51" s="1">
        <v>8.5350139849109663E-3</v>
      </c>
      <c r="E51" s="5">
        <v>5.9525318063029639E-5</v>
      </c>
      <c r="F51" s="5">
        <v>0.41656160598040182</v>
      </c>
      <c r="G51" s="5">
        <v>3.201730076093301E-2</v>
      </c>
      <c r="H51" s="1">
        <v>0.61145707292962082</v>
      </c>
      <c r="I51" s="5">
        <v>5.2519534493824446E-3</v>
      </c>
      <c r="J51" s="5">
        <v>0.45383086019071728</v>
      </c>
      <c r="K51" s="5">
        <v>3.7269254210315461E-2</v>
      </c>
      <c r="L51" s="5">
        <v>1.29122313101795E-2</v>
      </c>
      <c r="M51" s="1">
        <v>0</v>
      </c>
    </row>
    <row r="52" spans="3:13" x14ac:dyDescent="0.25">
      <c r="C52" s="1">
        <v>21</v>
      </c>
      <c r="D52" s="1">
        <v>0.12205944859244511</v>
      </c>
      <c r="E52" s="5">
        <v>9.0400275515554053E-4</v>
      </c>
      <c r="F52" s="5">
        <v>0.41746560873555738</v>
      </c>
      <c r="G52" s="5">
        <v>3.6365251455159897E-2</v>
      </c>
      <c r="H52" s="1">
        <v>0.6290188250307559</v>
      </c>
      <c r="I52" s="5">
        <v>5.5089108832493249E-3</v>
      </c>
      <c r="J52" s="5">
        <v>0.45933977107396662</v>
      </c>
      <c r="K52" s="5">
        <v>4.1874162338409238E-2</v>
      </c>
      <c r="L52" s="5">
        <v>1.4029041793273805E-2</v>
      </c>
      <c r="M52" s="1">
        <v>0</v>
      </c>
    </row>
    <row r="53" spans="3:13" x14ac:dyDescent="0.25">
      <c r="C53" s="4">
        <v>22</v>
      </c>
      <c r="D53" s="1">
        <v>0.54942282387563612</v>
      </c>
      <c r="E53" s="5">
        <v>5.5362910031544746E-3</v>
      </c>
      <c r="F53" s="5">
        <v>0.42300189973871183</v>
      </c>
      <c r="G53" s="5">
        <v>3.633787133525479E-2</v>
      </c>
      <c r="H53" s="1">
        <v>0.44319491662450117</v>
      </c>
      <c r="I53" s="5">
        <v>3.2530002243225851E-3</v>
      </c>
      <c r="J53" s="5">
        <v>0.46259277129828918</v>
      </c>
      <c r="K53" s="5">
        <v>3.9590871559577356E-2</v>
      </c>
      <c r="L53" s="5">
        <v>1.5043079499727486E-2</v>
      </c>
      <c r="M53" s="1">
        <v>0</v>
      </c>
    </row>
    <row r="54" spans="3:13" x14ac:dyDescent="0.25">
      <c r="C54" s="1">
        <v>23</v>
      </c>
      <c r="D54" s="1">
        <v>0.87587639057462807</v>
      </c>
      <c r="E54" s="5">
        <v>1.4489426109011848E-2</v>
      </c>
      <c r="F54" s="5">
        <v>0.43749132584772366</v>
      </c>
      <c r="G54" s="5">
        <v>2.5101445450565529E-2</v>
      </c>
      <c r="H54" s="1">
        <v>0.65838650991577918</v>
      </c>
      <c r="I54" s="5">
        <v>5.9670851498255552E-3</v>
      </c>
      <c r="J54" s="5">
        <v>0.46855985644811476</v>
      </c>
      <c r="K54" s="5">
        <v>3.1068530600391109E-2</v>
      </c>
      <c r="L54" s="5">
        <v>1.5480399758459575E-2</v>
      </c>
      <c r="M54" s="1">
        <v>0</v>
      </c>
    </row>
    <row r="55" spans="3:13" x14ac:dyDescent="0.25">
      <c r="C55" s="1">
        <v>24</v>
      </c>
      <c r="D55" s="1">
        <v>0.7795347176490518</v>
      </c>
      <c r="E55" s="5">
        <v>1.0500104487134015E-2</v>
      </c>
      <c r="F55" s="5">
        <v>0.44799143033485767</v>
      </c>
      <c r="G55" s="5">
        <v>2.0568426113257099E-2</v>
      </c>
      <c r="H55" s="1">
        <v>0.94223252161969395</v>
      </c>
      <c r="I55" s="5">
        <v>1.5840718441307043E-2</v>
      </c>
      <c r="J55" s="5">
        <v>0.48440057488942179</v>
      </c>
      <c r="K55" s="5">
        <v>3.6409144554564121E-2</v>
      </c>
      <c r="L55" s="5">
        <v>1.5692400856576139E-2</v>
      </c>
      <c r="M55" s="1">
        <v>0</v>
      </c>
    </row>
    <row r="56" spans="3:13" x14ac:dyDescent="0.25">
      <c r="C56" s="4">
        <v>25</v>
      </c>
      <c r="D56" s="1">
        <v>0.15280013300751893</v>
      </c>
      <c r="E56" s="5">
        <v>1.151518345080222E-3</v>
      </c>
      <c r="F56" s="5">
        <v>0.44914294867993787</v>
      </c>
      <c r="G56" s="5">
        <v>3.5257626209483917E-2</v>
      </c>
      <c r="H56" s="1">
        <v>0.16484327165853008</v>
      </c>
      <c r="I56" s="5">
        <v>1.0007548507329077E-3</v>
      </c>
      <c r="J56" s="5">
        <v>0.48540132974015471</v>
      </c>
      <c r="K56" s="5">
        <v>3.6258381060216838E-2</v>
      </c>
      <c r="L56" s="5">
        <v>1.6475009870692451E-2</v>
      </c>
      <c r="M56" s="1">
        <v>0</v>
      </c>
    </row>
    <row r="57" spans="3:13" x14ac:dyDescent="0.25">
      <c r="C57" s="1">
        <v>26</v>
      </c>
      <c r="D57" s="1">
        <v>0.62800857495026996</v>
      </c>
      <c r="E57" s="5">
        <v>6.8672533049739812E-3</v>
      </c>
      <c r="F57" s="5">
        <v>0.45601020198491188</v>
      </c>
      <c r="G57" s="5">
        <v>2.939112775524283E-2</v>
      </c>
      <c r="H57" s="1">
        <v>0.55822512113096512</v>
      </c>
      <c r="I57" s="5">
        <v>4.5386380582199438E-3</v>
      </c>
      <c r="J57" s="5">
        <v>0.48993996779837468</v>
      </c>
      <c r="K57" s="5">
        <v>3.3929765813462798E-2</v>
      </c>
      <c r="L57" s="5">
        <v>1.6971783635482848E-2</v>
      </c>
      <c r="M57" s="1">
        <v>0</v>
      </c>
    </row>
    <row r="58" spans="3:13" x14ac:dyDescent="0.25">
      <c r="C58" s="1">
        <v>27</v>
      </c>
      <c r="D58" s="1">
        <v>0.76941971583260005</v>
      </c>
      <c r="E58" s="5">
        <v>1.0188584533162863E-2</v>
      </c>
      <c r="F58" s="5">
        <v>0.46619878651807473</v>
      </c>
      <c r="G58" s="5">
        <v>2.374118128029995E-2</v>
      </c>
      <c r="H58" s="1">
        <v>9.7417634933496089E-2</v>
      </c>
      <c r="I58" s="5">
        <v>5.6941849837640636E-4</v>
      </c>
      <c r="J58" s="5">
        <v>0.49050938629675106</v>
      </c>
      <c r="K58" s="5">
        <v>2.4310599778676334E-2</v>
      </c>
      <c r="L58" s="5">
        <v>1.722250206677237E-2</v>
      </c>
      <c r="M58" s="1">
        <v>0</v>
      </c>
    </row>
    <row r="59" spans="3:13" x14ac:dyDescent="0.25">
      <c r="C59" s="4">
        <v>28</v>
      </c>
      <c r="D59" s="1">
        <v>8.134372037740778E-2</v>
      </c>
      <c r="E59" s="5">
        <v>5.8918918216922464E-4</v>
      </c>
      <c r="F59" s="5">
        <v>0.46678797570024394</v>
      </c>
      <c r="G59" s="5">
        <v>2.372141059650712E-2</v>
      </c>
      <c r="H59" s="1">
        <v>0.46883981989818924</v>
      </c>
      <c r="I59" s="5">
        <v>3.5149535877080649E-3</v>
      </c>
      <c r="J59" s="5">
        <v>0.49402433988445915</v>
      </c>
      <c r="K59" s="5">
        <v>2.7236364184215212E-2</v>
      </c>
      <c r="L59" s="5">
        <v>1.7454605942834326E-2</v>
      </c>
      <c r="M59" s="1">
        <v>0</v>
      </c>
    </row>
    <row r="60" spans="3:13" x14ac:dyDescent="0.25">
      <c r="C60" s="1">
        <v>29</v>
      </c>
      <c r="D60" s="1">
        <v>7.9921932850866684E-2</v>
      </c>
      <c r="E60" s="5">
        <v>5.7844970098749665E-4</v>
      </c>
      <c r="F60" s="5">
        <v>0.46736642540123141</v>
      </c>
      <c r="G60" s="5">
        <v>2.665791448322774E-2</v>
      </c>
      <c r="H60" s="1">
        <v>0.66478042429841699</v>
      </c>
      <c r="I60" s="5">
        <v>6.0720528445279889E-3</v>
      </c>
      <c r="J60" s="5">
        <v>0.50009639272898709</v>
      </c>
      <c r="K60" s="5">
        <v>3.2729967327755682E-2</v>
      </c>
      <c r="L60" s="5">
        <v>1.7771961409744443E-2</v>
      </c>
      <c r="M60" s="1">
        <v>0</v>
      </c>
    </row>
    <row r="61" spans="3:13" x14ac:dyDescent="0.25">
      <c r="C61" s="1">
        <v>30</v>
      </c>
      <c r="D61" s="1">
        <v>0.1629625932755937</v>
      </c>
      <c r="E61" s="5">
        <v>1.235323042113091E-3</v>
      </c>
      <c r="F61" s="5">
        <v>0.46860174844334451</v>
      </c>
      <c r="G61" s="5">
        <v>3.1494644285642581E-2</v>
      </c>
      <c r="H61" s="1">
        <v>5.6467394400539939E-2</v>
      </c>
      <c r="I61" s="5">
        <v>3.2291309242565435E-4</v>
      </c>
      <c r="J61" s="5">
        <v>0.5004193058214127</v>
      </c>
      <c r="K61" s="5">
        <v>3.1817557378068184E-2</v>
      </c>
      <c r="L61" s="5">
        <v>1.8229384172274384E-2</v>
      </c>
      <c r="M61" s="1">
        <v>0</v>
      </c>
    </row>
    <row r="62" spans="3:13" x14ac:dyDescent="0.25">
      <c r="C62" s="1">
        <v>31</v>
      </c>
      <c r="D62" s="1">
        <v>0.83486226048902645</v>
      </c>
      <c r="E62" s="5">
        <v>1.2506773391706267E-2</v>
      </c>
      <c r="F62" s="5">
        <v>0.48110852183505076</v>
      </c>
      <c r="G62" s="5">
        <v>1.9310783986361935E-2</v>
      </c>
      <c r="H62" s="1">
        <v>0.66192288217297957</v>
      </c>
      <c r="I62" s="5">
        <v>6.0248958348441232E-3</v>
      </c>
      <c r="J62" s="5">
        <v>0.50644420165625681</v>
      </c>
      <c r="K62" s="5">
        <v>2.5335679821206047E-2</v>
      </c>
      <c r="L62" s="5">
        <v>1.826426803724495E-2</v>
      </c>
      <c r="M62" s="1">
        <v>0</v>
      </c>
    </row>
    <row r="63" spans="3:13" x14ac:dyDescent="0.25">
      <c r="C63" s="1">
        <v>32</v>
      </c>
      <c r="D63" s="1">
        <v>0.95208434938995923</v>
      </c>
      <c r="E63" s="5">
        <v>2.1099396478177965E-2</v>
      </c>
      <c r="F63" s="5">
        <v>0.50220791831322875</v>
      </c>
      <c r="G63" s="5">
        <v>4.2362833430280578E-3</v>
      </c>
      <c r="H63" s="1">
        <v>0.18465581817954202</v>
      </c>
      <c r="I63" s="5">
        <v>1.1341385883692108E-3</v>
      </c>
      <c r="J63" s="5">
        <v>0.507578340244626</v>
      </c>
      <c r="K63" s="5">
        <v>5.3704219313972512E-3</v>
      </c>
      <c r="L63" s="5">
        <v>1.7825893515550674E-2</v>
      </c>
      <c r="M63" s="1">
        <v>1</v>
      </c>
    </row>
    <row r="64" spans="3:13" x14ac:dyDescent="0.25">
      <c r="C64" s="1">
        <v>33</v>
      </c>
      <c r="D64" s="1">
        <v>1.9133111575665218E-2</v>
      </c>
      <c r="E64" s="5">
        <v>1.3415637710436504E-4</v>
      </c>
      <c r="F64" s="5">
        <v>0.5023420746903331</v>
      </c>
      <c r="G64" s="5">
        <v>5.2362655542929071E-3</v>
      </c>
      <c r="H64" s="1">
        <v>0.84364836039531255</v>
      </c>
      <c r="I64" s="5">
        <v>1.0309153935415545E-2</v>
      </c>
      <c r="J64" s="5">
        <v>0.51788749418004154</v>
      </c>
      <c r="K64" s="5">
        <v>1.5545419489708445E-2</v>
      </c>
      <c r="L64" s="5">
        <v>1.7444389637936802E-2</v>
      </c>
      <c r="M64" s="1">
        <v>1</v>
      </c>
    </row>
    <row r="65" spans="3:16" x14ac:dyDescent="0.25">
      <c r="C65" s="1">
        <v>34</v>
      </c>
      <c r="D65" s="1">
        <v>0.16247062058889716</v>
      </c>
      <c r="E65" s="5">
        <v>1.2312426111412951E-3</v>
      </c>
      <c r="F65" s="5">
        <v>0.50357331730147437</v>
      </c>
      <c r="G65" s="5">
        <v>1.4314176878567175E-2</v>
      </c>
      <c r="H65" s="1">
        <v>0.12685244759272507</v>
      </c>
      <c r="I65" s="5">
        <v>7.5361510986530231E-4</v>
      </c>
      <c r="J65" s="5">
        <v>0.51864110928990681</v>
      </c>
      <c r="K65" s="5">
        <v>1.5067791988432444E-2</v>
      </c>
      <c r="L65" s="5">
        <v>1.7352324556778872E-2</v>
      </c>
      <c r="M65" s="1">
        <v>0</v>
      </c>
    </row>
    <row r="66" spans="3:16" x14ac:dyDescent="0.25">
      <c r="C66" s="1">
        <v>35</v>
      </c>
      <c r="D66" s="1">
        <v>0.95529385524613952</v>
      </c>
      <c r="E66" s="5">
        <v>2.1580863335284403E-2</v>
      </c>
      <c r="F66" s="5">
        <v>0.52515418063675878</v>
      </c>
      <c r="G66" s="5">
        <v>0</v>
      </c>
      <c r="H66" s="1">
        <v>0.32471590846348841</v>
      </c>
      <c r="I66" s="5">
        <v>2.1812322239045988E-3</v>
      </c>
      <c r="J66" s="5">
        <v>0.52733541286066343</v>
      </c>
      <c r="K66" s="5">
        <v>2.18123222390465E-3</v>
      </c>
      <c r="L66" s="5">
        <v>1.6856543855156617E-2</v>
      </c>
      <c r="M66" s="1">
        <v>1</v>
      </c>
    </row>
    <row r="67" spans="3:16" x14ac:dyDescent="0.25">
      <c r="C67" s="1">
        <v>36</v>
      </c>
      <c r="D67" s="1">
        <v>3.9353435103531731E-2</v>
      </c>
      <c r="E67" s="5">
        <v>2.7881052862877036E-4</v>
      </c>
      <c r="F67" s="5">
        <v>0.52543299116538755</v>
      </c>
      <c r="G67" s="5">
        <v>1.9024216952758799E-3</v>
      </c>
      <c r="H67" s="1">
        <v>1.5492753636036527E-2</v>
      </c>
      <c r="I67" s="5">
        <v>8.6744558217175332E-5</v>
      </c>
      <c r="J67" s="5">
        <v>0.52742215741888065</v>
      </c>
      <c r="K67" s="5">
        <v>1.9891662534931021E-3</v>
      </c>
      <c r="L67" s="5">
        <v>1.6441151572937709E-2</v>
      </c>
      <c r="M67" s="1">
        <v>1</v>
      </c>
    </row>
    <row r="68" spans="3:16" x14ac:dyDescent="0.25">
      <c r="C68" s="1">
        <v>37</v>
      </c>
      <c r="D68" s="1">
        <v>0.8814786496377508</v>
      </c>
      <c r="E68" s="5">
        <v>1.4810153908351527E-2</v>
      </c>
      <c r="F68" s="5">
        <v>0.54024314507373905</v>
      </c>
      <c r="G68" s="5">
        <v>0</v>
      </c>
      <c r="H68" s="1">
        <v>0.6684360565435189</v>
      </c>
      <c r="I68" s="5">
        <v>6.1329699815884063E-3</v>
      </c>
      <c r="J68" s="5">
        <v>0.54637611505532746</v>
      </c>
      <c r="K68" s="5">
        <v>6.1329699815884098E-3</v>
      </c>
      <c r="L68" s="5">
        <v>1.5996796125020474E-2</v>
      </c>
      <c r="M68" s="1">
        <v>1</v>
      </c>
    </row>
    <row r="69" spans="3:16" x14ac:dyDescent="0.25">
      <c r="C69" s="1">
        <v>38</v>
      </c>
      <c r="D69" s="1">
        <v>0.80304742881076763</v>
      </c>
      <c r="E69" s="5">
        <v>1.1283280101492958E-2</v>
      </c>
      <c r="F69" s="5">
        <v>0.55152642517523198</v>
      </c>
      <c r="G69" s="5">
        <v>0</v>
      </c>
      <c r="H69" s="1">
        <v>0.88261552198788629</v>
      </c>
      <c r="I69" s="5">
        <v>1.1901669971537989E-2</v>
      </c>
      <c r="J69" s="5">
        <v>0.56342809514676995</v>
      </c>
      <c r="K69" s="5">
        <v>1.1901669971537965E-2</v>
      </c>
      <c r="L69" s="5">
        <v>1.5575827805940988E-2</v>
      </c>
      <c r="M69" s="1">
        <v>1</v>
      </c>
    </row>
    <row r="70" spans="3:16" x14ac:dyDescent="0.25">
      <c r="C70" s="1">
        <v>39</v>
      </c>
      <c r="D70" s="1">
        <v>0.30208380660038581</v>
      </c>
      <c r="E70" s="5">
        <v>2.4976128485492063E-3</v>
      </c>
      <c r="F70" s="5">
        <v>0.5540240380237812</v>
      </c>
      <c r="G70" s="5">
        <v>9.4040571229887515E-3</v>
      </c>
      <c r="H70" s="1">
        <v>0.96300537314174572</v>
      </c>
      <c r="I70" s="5">
        <v>1.8316569982947478E-2</v>
      </c>
      <c r="J70" s="5">
        <v>0.58174466512971745</v>
      </c>
      <c r="K70" s="5">
        <v>2.7720627105936257E-2</v>
      </c>
      <c r="L70" s="5">
        <v>1.5417577275608879E-2</v>
      </c>
      <c r="M70" s="1">
        <v>1</v>
      </c>
    </row>
    <row r="71" spans="3:16" x14ac:dyDescent="0.25">
      <c r="C71" s="1">
        <v>40</v>
      </c>
      <c r="D71" s="1">
        <v>0.57264271826307678</v>
      </c>
      <c r="E71" s="5">
        <v>5.9037145155127592E-3</v>
      </c>
      <c r="F71" s="5">
        <v>0.55992775253929394</v>
      </c>
      <c r="G71" s="5">
        <v>2.1816912590423509E-2</v>
      </c>
      <c r="H71" s="1">
        <v>0.6865096512499379</v>
      </c>
      <c r="I71" s="5">
        <v>6.4443705826071661E-3</v>
      </c>
      <c r="J71" s="5">
        <v>0.58818903571232461</v>
      </c>
      <c r="K71" s="5">
        <v>2.8261283173030671E-2</v>
      </c>
      <c r="L71" s="5">
        <v>1.5577560658479244E-2</v>
      </c>
      <c r="M71" s="1">
        <v>0</v>
      </c>
      <c r="P71" t="s">
        <v>133</v>
      </c>
    </row>
    <row r="72" spans="3:16" x14ac:dyDescent="0.25">
      <c r="C72" s="1">
        <v>41</v>
      </c>
      <c r="D72" s="1">
        <v>0.68953753708631549</v>
      </c>
      <c r="E72" s="5">
        <v>8.1228630368344913E-3</v>
      </c>
      <c r="F72" s="5">
        <v>0.56805061557612846</v>
      </c>
      <c r="G72" s="5">
        <v>2.0138420136196156E-2</v>
      </c>
      <c r="H72" s="1">
        <v>0.94157027801498416</v>
      </c>
      <c r="I72" s="5">
        <v>1.5777392113963552E-2</v>
      </c>
      <c r="J72" s="5">
        <v>0.60396642782628818</v>
      </c>
      <c r="K72" s="5">
        <v>3.5915812250159718E-2</v>
      </c>
      <c r="L72" s="5">
        <v>1.568880113354551E-2</v>
      </c>
      <c r="M72" s="1">
        <v>0</v>
      </c>
    </row>
    <row r="73" spans="3:16" x14ac:dyDescent="0.25">
      <c r="C73" s="1">
        <v>42</v>
      </c>
      <c r="D73" s="1">
        <v>0.33972083347157611</v>
      </c>
      <c r="E73" s="5">
        <v>2.8825871791930109E-3</v>
      </c>
      <c r="F73" s="5">
        <v>0.57093320275532145</v>
      </c>
      <c r="G73" s="5">
        <v>3.3033225070966732E-2</v>
      </c>
      <c r="H73" s="1">
        <v>0.59828655527558117</v>
      </c>
      <c r="I73" s="5">
        <v>5.0667570478422214E-3</v>
      </c>
      <c r="J73" s="5">
        <v>0.60903318487413038</v>
      </c>
      <c r="K73" s="5">
        <v>3.8099982118808939E-2</v>
      </c>
      <c r="L73" s="5">
        <v>1.6101763608246018E-2</v>
      </c>
      <c r="M73" s="1">
        <v>0</v>
      </c>
    </row>
    <row r="74" spans="3:16" x14ac:dyDescent="0.25">
      <c r="C74" s="1">
        <v>43</v>
      </c>
      <c r="D74" s="1">
        <v>3.3448536338523627E-2</v>
      </c>
      <c r="E74" s="5">
        <v>2.3625509930735311E-4</v>
      </c>
      <c r="F74" s="5">
        <v>0.5711694578546288</v>
      </c>
      <c r="G74" s="5">
        <v>3.7863727019501581E-2</v>
      </c>
      <c r="H74" s="1">
        <v>0.32083475848674869</v>
      </c>
      <c r="I74" s="5">
        <v>2.1493934495712638E-3</v>
      </c>
      <c r="J74" s="5">
        <v>0.6111825783237016</v>
      </c>
      <c r="K74" s="5">
        <v>4.0013120469072794E-2</v>
      </c>
      <c r="L74" s="5">
        <v>1.6607855780600797E-2</v>
      </c>
      <c r="M74" s="1">
        <v>0</v>
      </c>
    </row>
    <row r="75" spans="3:16" x14ac:dyDescent="0.25">
      <c r="C75" s="1">
        <v>44</v>
      </c>
      <c r="D75" s="1">
        <v>0.35439644127688341</v>
      </c>
      <c r="E75" s="5">
        <v>3.0386781233965633E-3</v>
      </c>
      <c r="F75" s="5">
        <v>0.57420813597802534</v>
      </c>
      <c r="G75" s="5">
        <v>3.6974442345676262E-2</v>
      </c>
      <c r="H75" s="1">
        <v>3.5882238992162474E-2</v>
      </c>
      <c r="I75" s="5">
        <v>2.0301018394742971E-4</v>
      </c>
      <c r="J75" s="5">
        <v>0.61138558850764901</v>
      </c>
      <c r="K75" s="5">
        <v>3.7177452529623678E-2</v>
      </c>
      <c r="L75" s="5">
        <v>1.7070732747988874E-2</v>
      </c>
      <c r="M75" s="1">
        <v>0</v>
      </c>
    </row>
    <row r="76" spans="3:16" x14ac:dyDescent="0.25">
      <c r="C76" s="1">
        <v>45</v>
      </c>
      <c r="D76" s="1">
        <v>0.67621761843972283</v>
      </c>
      <c r="E76" s="5">
        <v>7.8311364632408214E-3</v>
      </c>
      <c r="F76" s="5">
        <v>0.58203927244126619</v>
      </c>
      <c r="G76" s="5">
        <v>2.9346316066382827E-2</v>
      </c>
      <c r="H76" s="1">
        <v>0.6422048023845679</v>
      </c>
      <c r="I76" s="5">
        <v>5.7099696109885563E-3</v>
      </c>
      <c r="J76" s="5">
        <v>0.61709555811863759</v>
      </c>
      <c r="K76" s="5">
        <v>3.5056285677371402E-2</v>
      </c>
      <c r="L76" s="5">
        <v>1.7343523488397631E-2</v>
      </c>
      <c r="M76" s="1">
        <v>0</v>
      </c>
    </row>
    <row r="77" spans="3:16" x14ac:dyDescent="0.25">
      <c r="C77" s="1">
        <v>46</v>
      </c>
      <c r="D77" s="1">
        <v>0.94425664514400243</v>
      </c>
      <c r="E77" s="5">
        <v>2.0048590771905288E-2</v>
      </c>
      <c r="F77" s="5">
        <v>0.60208786321317143</v>
      </c>
      <c r="G77" s="5">
        <v>1.5007694905466162E-2</v>
      </c>
      <c r="H77" s="1">
        <v>0.36706000956635809</v>
      </c>
      <c r="I77" s="5">
        <v>2.5409981287473743E-3</v>
      </c>
      <c r="J77" s="5">
        <v>0.61963655624738501</v>
      </c>
      <c r="K77" s="5">
        <v>1.7548693034213581E-2</v>
      </c>
      <c r="L77" s="5">
        <v>1.7292744606159989E-2</v>
      </c>
      <c r="M77" s="1">
        <v>0</v>
      </c>
    </row>
    <row r="78" spans="3:16" x14ac:dyDescent="0.25">
      <c r="C78" s="1">
        <v>47</v>
      </c>
      <c r="D78" s="1">
        <v>0.32470442529826282</v>
      </c>
      <c r="E78" s="5">
        <v>2.7264221910260869E-3</v>
      </c>
      <c r="F78" s="5">
        <v>0.60481428540419746</v>
      </c>
      <c r="G78" s="5">
        <v>1.4822270843187546E-2</v>
      </c>
      <c r="H78" s="1">
        <v>0.61642166418076549</v>
      </c>
      <c r="I78" s="5">
        <v>5.3233967418567967E-3</v>
      </c>
      <c r="J78" s="5">
        <v>0.62495995298924178</v>
      </c>
      <c r="K78" s="5">
        <v>2.0145667585044325E-2</v>
      </c>
      <c r="L78" s="5">
        <v>1.7240181334607384E-2</v>
      </c>
      <c r="M78" s="1">
        <v>0</v>
      </c>
    </row>
    <row r="79" spans="3:16" x14ac:dyDescent="0.25">
      <c r="C79" s="1">
        <v>48</v>
      </c>
      <c r="D79" s="1">
        <v>0.46997475312344306</v>
      </c>
      <c r="E79" s="5">
        <v>4.4085460969053077E-3</v>
      </c>
      <c r="F79" s="5">
        <v>0.60922283150110279</v>
      </c>
      <c r="G79" s="5">
        <v>1.5737121488138994E-2</v>
      </c>
      <c r="H79" s="1">
        <v>0.27320287551109335</v>
      </c>
      <c r="I79" s="5">
        <v>1.7728216603742249E-3</v>
      </c>
      <c r="J79" s="5">
        <v>0.62673277464961596</v>
      </c>
      <c r="K79" s="5">
        <v>1.7509943148513174E-2</v>
      </c>
      <c r="L79" s="5">
        <v>1.7208867587805959E-2</v>
      </c>
      <c r="M79" s="1">
        <v>0</v>
      </c>
    </row>
    <row r="80" spans="3:16" x14ac:dyDescent="0.25">
      <c r="C80" s="1">
        <v>49</v>
      </c>
      <c r="D80" s="1">
        <v>0.57143142926337076</v>
      </c>
      <c r="E80" s="5">
        <v>5.8840592270182988E-3</v>
      </c>
      <c r="F80" s="5">
        <v>0.61510689072812108</v>
      </c>
      <c r="G80" s="5">
        <v>1.1625883921494884E-2</v>
      </c>
      <c r="H80" s="1">
        <v>0.17146871650021767</v>
      </c>
      <c r="I80" s="5">
        <v>1.0450037979181297E-3</v>
      </c>
      <c r="J80" s="5">
        <v>0.62777777844753413</v>
      </c>
      <c r="K80" s="5">
        <v>1.2670887719413049E-2</v>
      </c>
      <c r="L80" s="5">
        <v>1.7094929145636345E-2</v>
      </c>
      <c r="M80" s="1">
        <v>0</v>
      </c>
    </row>
    <row r="81" spans="3:13" x14ac:dyDescent="0.25">
      <c r="C81" s="1">
        <v>50</v>
      </c>
      <c r="D81" s="1">
        <v>0.97307879350570337</v>
      </c>
      <c r="E81" s="5">
        <v>2.5103062204462234E-2</v>
      </c>
      <c r="F81" s="5">
        <v>0.64020995293258331</v>
      </c>
      <c r="G81" s="5">
        <v>0</v>
      </c>
      <c r="H81" s="1">
        <v>0.95678686726751239</v>
      </c>
      <c r="I81" s="5">
        <v>1.7453393508294564E-2</v>
      </c>
      <c r="J81" s="5">
        <v>0.65766334644087787</v>
      </c>
      <c r="K81" s="5">
        <v>1.7453393508294557E-2</v>
      </c>
      <c r="L81" s="5">
        <v>1.675303056272362E-2</v>
      </c>
      <c r="M81" s="1">
        <v>1</v>
      </c>
    </row>
  </sheetData>
  <mergeCells count="10">
    <mergeCell ref="J29:J31"/>
    <mergeCell ref="K29:K31"/>
    <mergeCell ref="L29:L31"/>
    <mergeCell ref="M29:M31"/>
    <mergeCell ref="C29:C31"/>
    <mergeCell ref="D29:D31"/>
    <mergeCell ref="F29:F31"/>
    <mergeCell ref="G29:G31"/>
    <mergeCell ref="H29:H31"/>
    <mergeCell ref="I29:I3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0D680-6E9B-41F7-BFE2-E81F4AE1FCFE}">
  <dimension ref="B2:K55"/>
  <sheetViews>
    <sheetView topLeftCell="A65" workbookViewId="0">
      <selection activeCell="D35" sqref="D35"/>
    </sheetView>
  </sheetViews>
  <sheetFormatPr baseColWidth="10" defaultRowHeight="15" x14ac:dyDescent="0.25"/>
  <cols>
    <col min="4" max="4" width="21.5703125" customWidth="1"/>
    <col min="5" max="5" width="26.7109375" customWidth="1"/>
    <col min="6" max="6" width="19" customWidth="1"/>
    <col min="7" max="7" width="27.140625" customWidth="1"/>
  </cols>
  <sheetData>
    <row r="2" spans="2:9" x14ac:dyDescent="0.25">
      <c r="B2" t="s">
        <v>36</v>
      </c>
    </row>
    <row r="3" spans="2:9" x14ac:dyDescent="0.25">
      <c r="B3" t="s">
        <v>50</v>
      </c>
    </row>
    <row r="5" spans="2:9" x14ac:dyDescent="0.25">
      <c r="B5" s="1" t="s">
        <v>4</v>
      </c>
      <c r="C5" s="1" t="s">
        <v>5</v>
      </c>
      <c r="D5" s="1"/>
      <c r="E5" s="1" t="s">
        <v>4</v>
      </c>
      <c r="F5" s="1" t="s">
        <v>5</v>
      </c>
      <c r="H5" t="s">
        <v>56</v>
      </c>
    </row>
    <row r="6" spans="2:9" x14ac:dyDescent="0.25">
      <c r="B6" s="1" t="s">
        <v>37</v>
      </c>
      <c r="C6" s="1">
        <v>3600</v>
      </c>
      <c r="D6" s="1"/>
      <c r="E6" s="1" t="s">
        <v>38</v>
      </c>
      <c r="F6" s="1">
        <v>57.37</v>
      </c>
      <c r="H6" t="s">
        <v>59</v>
      </c>
    </row>
    <row r="7" spans="2:9" x14ac:dyDescent="0.25">
      <c r="B7" s="1" t="s">
        <v>39</v>
      </c>
      <c r="C7" s="1">
        <v>80000</v>
      </c>
      <c r="D7" s="1"/>
      <c r="E7" s="1" t="s">
        <v>40</v>
      </c>
      <c r="F7" s="1">
        <v>57.37</v>
      </c>
      <c r="H7">
        <f>F14</f>
        <v>2710040000</v>
      </c>
      <c r="I7" t="s">
        <v>57</v>
      </c>
    </row>
    <row r="8" spans="2:9" x14ac:dyDescent="0.25">
      <c r="B8" s="1" t="s">
        <v>41</v>
      </c>
      <c r="C8" s="1">
        <v>175000</v>
      </c>
      <c r="D8" s="1"/>
      <c r="E8" s="1" t="s">
        <v>42</v>
      </c>
      <c r="F8" s="1">
        <v>28.69</v>
      </c>
    </row>
    <row r="9" spans="2:9" x14ac:dyDescent="0.25">
      <c r="B9" s="1" t="s">
        <v>43</v>
      </c>
      <c r="C9" s="1">
        <v>750000</v>
      </c>
      <c r="D9" s="1"/>
      <c r="E9" s="1" t="s">
        <v>44</v>
      </c>
      <c r="F9" s="1">
        <v>62.75</v>
      </c>
    </row>
    <row r="10" spans="2:9" x14ac:dyDescent="0.25">
      <c r="B10" s="1"/>
      <c r="C10" s="1"/>
      <c r="D10" s="1"/>
      <c r="E10" s="1" t="s">
        <v>45</v>
      </c>
      <c r="F10" s="1">
        <v>5019961</v>
      </c>
    </row>
    <row r="11" spans="2:9" x14ac:dyDescent="0.25">
      <c r="B11" s="1"/>
      <c r="C11" s="1"/>
      <c r="D11" s="1"/>
      <c r="E11" s="1" t="s">
        <v>46</v>
      </c>
      <c r="F11" s="1">
        <v>5019960</v>
      </c>
    </row>
    <row r="12" spans="2:9" x14ac:dyDescent="0.25">
      <c r="B12" s="1"/>
      <c r="C12" s="1"/>
      <c r="D12" s="1"/>
      <c r="E12" s="1" t="s">
        <v>47</v>
      </c>
      <c r="F12" s="1">
        <v>10039920</v>
      </c>
    </row>
    <row r="13" spans="2:9" x14ac:dyDescent="0.25">
      <c r="B13" s="1"/>
      <c r="C13" s="1"/>
      <c r="D13" s="1"/>
      <c r="E13" s="1" t="s">
        <v>48</v>
      </c>
      <c r="F13" s="1">
        <v>2700000000</v>
      </c>
    </row>
    <row r="14" spans="2:9" x14ac:dyDescent="0.25">
      <c r="B14" s="1"/>
      <c r="C14" s="1"/>
      <c r="D14" s="1"/>
      <c r="E14" s="1" t="s">
        <v>49</v>
      </c>
      <c r="F14" s="1">
        <v>2710040000</v>
      </c>
    </row>
    <row r="20" spans="2:11" x14ac:dyDescent="0.25">
      <c r="B20" t="s">
        <v>51</v>
      </c>
    </row>
    <row r="22" spans="2:11" x14ac:dyDescent="0.25">
      <c r="B22" s="1" t="s">
        <v>4</v>
      </c>
      <c r="C22" s="1" t="s">
        <v>5</v>
      </c>
      <c r="D22" s="1"/>
      <c r="E22" s="1"/>
      <c r="F22" s="1"/>
      <c r="G22" s="1" t="s">
        <v>4</v>
      </c>
      <c r="H22" s="1" t="s">
        <v>5</v>
      </c>
      <c r="J22" t="s">
        <v>58</v>
      </c>
    </row>
    <row r="23" spans="2:11" x14ac:dyDescent="0.25">
      <c r="B23" s="1" t="s">
        <v>37</v>
      </c>
      <c r="C23" s="1">
        <v>3600</v>
      </c>
      <c r="D23" s="1" t="s">
        <v>52</v>
      </c>
      <c r="E23" s="1" t="s">
        <v>52</v>
      </c>
      <c r="F23" s="1"/>
      <c r="G23" s="1" t="s">
        <v>38</v>
      </c>
      <c r="H23" s="1">
        <v>800</v>
      </c>
      <c r="J23" t="s">
        <v>60</v>
      </c>
    </row>
    <row r="24" spans="2:11" x14ac:dyDescent="0.25">
      <c r="B24" s="1" t="s">
        <v>39</v>
      </c>
      <c r="C24" s="1">
        <v>80000</v>
      </c>
      <c r="D24" s="1" t="s">
        <v>52</v>
      </c>
      <c r="E24" s="1" t="s">
        <v>52</v>
      </c>
      <c r="F24" s="1"/>
      <c r="G24" s="1" t="s">
        <v>40</v>
      </c>
      <c r="H24" s="1">
        <v>800</v>
      </c>
    </row>
    <row r="25" spans="2:11" x14ac:dyDescent="0.25">
      <c r="B25" s="1" t="s">
        <v>41</v>
      </c>
      <c r="C25" s="1">
        <v>175000</v>
      </c>
      <c r="D25" s="1" t="s">
        <v>52</v>
      </c>
      <c r="E25" s="1" t="s">
        <v>52</v>
      </c>
      <c r="F25" s="1"/>
      <c r="G25" s="1" t="s">
        <v>42</v>
      </c>
      <c r="H25" s="1">
        <v>400</v>
      </c>
      <c r="J25" t="s">
        <v>61</v>
      </c>
    </row>
    <row r="26" spans="2:11" x14ac:dyDescent="0.25">
      <c r="B26" s="1"/>
      <c r="C26" s="1"/>
      <c r="D26" s="1"/>
      <c r="E26" s="1"/>
      <c r="F26" s="1"/>
      <c r="G26" s="1" t="s">
        <v>44</v>
      </c>
      <c r="H26" s="1">
        <v>4.5</v>
      </c>
      <c r="J26">
        <f>H31</f>
        <v>2500360000</v>
      </c>
      <c r="K26" t="s">
        <v>57</v>
      </c>
    </row>
    <row r="27" spans="2:11" x14ac:dyDescent="0.25">
      <c r="B27" s="1"/>
      <c r="C27" s="1" t="s">
        <v>53</v>
      </c>
      <c r="D27" s="1" t="s">
        <v>54</v>
      </c>
      <c r="E27" s="1" t="s">
        <v>55</v>
      </c>
      <c r="F27" s="1"/>
      <c r="G27" s="1" t="s">
        <v>45</v>
      </c>
      <c r="H27" s="1">
        <v>360000</v>
      </c>
    </row>
    <row r="28" spans="2:11" x14ac:dyDescent="0.25">
      <c r="B28" s="1">
        <v>1</v>
      </c>
      <c r="C28" s="1">
        <v>1</v>
      </c>
      <c r="D28" s="1">
        <v>399</v>
      </c>
      <c r="E28" s="1">
        <v>750000</v>
      </c>
      <c r="F28" s="1"/>
      <c r="G28" s="1" t="s">
        <v>46</v>
      </c>
      <c r="H28" s="1">
        <v>70000000</v>
      </c>
    </row>
    <row r="29" spans="2:11" x14ac:dyDescent="0.25">
      <c r="B29" s="1">
        <v>2</v>
      </c>
      <c r="C29" s="1">
        <v>400</v>
      </c>
      <c r="D29" s="1">
        <v>799</v>
      </c>
      <c r="E29" s="1">
        <v>705000</v>
      </c>
      <c r="F29" s="1"/>
      <c r="G29" s="1"/>
      <c r="H29" s="1"/>
    </row>
    <row r="30" spans="2:11" x14ac:dyDescent="0.25">
      <c r="B30" s="1">
        <v>3</v>
      </c>
      <c r="C30" s="1">
        <v>800</v>
      </c>
      <c r="D30" s="1">
        <v>999999</v>
      </c>
      <c r="E30" s="1">
        <v>675000</v>
      </c>
      <c r="F30" s="1"/>
      <c r="G30" s="1" t="s">
        <v>48</v>
      </c>
      <c r="H30" s="1">
        <v>2430000000</v>
      </c>
    </row>
    <row r="31" spans="2:11" x14ac:dyDescent="0.25">
      <c r="B31" s="1"/>
      <c r="C31" s="1"/>
      <c r="D31" s="1"/>
      <c r="E31" s="1"/>
      <c r="F31" s="1"/>
      <c r="G31" s="1" t="s">
        <v>49</v>
      </c>
      <c r="H31" s="1">
        <v>2500360000</v>
      </c>
    </row>
    <row r="35" spans="2:9" x14ac:dyDescent="0.25">
      <c r="B35" t="s">
        <v>62</v>
      </c>
    </row>
    <row r="37" spans="2:9" x14ac:dyDescent="0.25">
      <c r="B37" s="1" t="s">
        <v>4</v>
      </c>
      <c r="C37" s="1" t="s">
        <v>5</v>
      </c>
      <c r="D37" s="1"/>
      <c r="E37" s="1" t="s">
        <v>4</v>
      </c>
      <c r="F37" s="1" t="s">
        <v>5</v>
      </c>
    </row>
    <row r="38" spans="2:9" x14ac:dyDescent="0.25">
      <c r="B38" s="1" t="s">
        <v>37</v>
      </c>
      <c r="C38" s="1">
        <v>3600</v>
      </c>
      <c r="D38" s="1"/>
      <c r="E38" s="1" t="s">
        <v>63</v>
      </c>
      <c r="F38" s="1">
        <v>254</v>
      </c>
      <c r="H38" t="s">
        <v>68</v>
      </c>
    </row>
    <row r="39" spans="2:9" x14ac:dyDescent="0.25">
      <c r="B39" s="1" t="s">
        <v>39</v>
      </c>
      <c r="C39" s="1">
        <v>200000</v>
      </c>
      <c r="D39" s="1"/>
      <c r="E39" s="1" t="s">
        <v>40</v>
      </c>
      <c r="F39" s="1">
        <v>36.28</v>
      </c>
      <c r="H39" t="s">
        <v>69</v>
      </c>
    </row>
    <row r="40" spans="2:9" x14ac:dyDescent="0.25">
      <c r="B40" s="1" t="s">
        <v>41</v>
      </c>
      <c r="C40" s="1">
        <v>156250</v>
      </c>
      <c r="D40" s="1"/>
      <c r="E40" s="1" t="s">
        <v>42</v>
      </c>
      <c r="F40" s="1">
        <v>18.14</v>
      </c>
      <c r="H40" t="s">
        <v>70</v>
      </c>
    </row>
    <row r="41" spans="2:9" x14ac:dyDescent="0.25">
      <c r="B41" s="1" t="s">
        <v>64</v>
      </c>
      <c r="C41" s="1">
        <v>14</v>
      </c>
      <c r="D41" s="1"/>
      <c r="E41" s="1" t="s">
        <v>65</v>
      </c>
      <c r="F41" s="1">
        <v>14.17</v>
      </c>
      <c r="H41">
        <f>F46</f>
        <v>2030669000</v>
      </c>
      <c r="I41" t="s">
        <v>57</v>
      </c>
    </row>
    <row r="42" spans="2:9" x14ac:dyDescent="0.25">
      <c r="B42" s="1" t="s">
        <v>66</v>
      </c>
      <c r="C42" s="1">
        <v>300</v>
      </c>
      <c r="D42" s="1"/>
      <c r="E42" s="1" t="s">
        <v>45</v>
      </c>
      <c r="F42" s="1">
        <v>2834734</v>
      </c>
    </row>
    <row r="43" spans="2:9" x14ac:dyDescent="0.25">
      <c r="B43" s="1" t="s">
        <v>67</v>
      </c>
      <c r="C43" s="1">
        <v>12</v>
      </c>
      <c r="D43" s="1"/>
      <c r="E43" s="1" t="s">
        <v>46</v>
      </c>
      <c r="F43" s="1">
        <v>2834734</v>
      </c>
    </row>
    <row r="44" spans="2:9" x14ac:dyDescent="0.25">
      <c r="B44" s="1" t="s">
        <v>43</v>
      </c>
      <c r="C44" s="1">
        <v>562500</v>
      </c>
      <c r="D44" s="1"/>
      <c r="E44" s="1" t="s">
        <v>47</v>
      </c>
      <c r="F44" s="1">
        <v>5669467</v>
      </c>
    </row>
    <row r="45" spans="2:9" x14ac:dyDescent="0.25">
      <c r="B45" s="1"/>
      <c r="C45" s="1"/>
      <c r="D45" s="1"/>
      <c r="E45" s="1" t="s">
        <v>48</v>
      </c>
      <c r="F45" s="1">
        <v>2025000000</v>
      </c>
      <c r="H45" s="2" t="s">
        <v>71</v>
      </c>
    </row>
    <row r="46" spans="2:9" x14ac:dyDescent="0.25">
      <c r="B46" s="1"/>
      <c r="C46" s="1"/>
      <c r="D46" s="1"/>
      <c r="E46" s="1" t="s">
        <v>49</v>
      </c>
      <c r="F46" s="1">
        <v>2030669000</v>
      </c>
      <c r="H46" t="s">
        <v>72</v>
      </c>
    </row>
    <row r="47" spans="2:9" x14ac:dyDescent="0.25">
      <c r="H47" t="s">
        <v>73</v>
      </c>
    </row>
    <row r="48" spans="2:9" x14ac:dyDescent="0.25">
      <c r="H48" t="s">
        <v>74</v>
      </c>
    </row>
    <row r="50" spans="8:8" x14ac:dyDescent="0.25">
      <c r="H50" t="s">
        <v>75</v>
      </c>
    </row>
    <row r="51" spans="8:8" x14ac:dyDescent="0.25">
      <c r="H51" t="s">
        <v>76</v>
      </c>
    </row>
    <row r="52" spans="8:8" x14ac:dyDescent="0.25">
      <c r="H52" t="s">
        <v>78</v>
      </c>
    </row>
    <row r="54" spans="8:8" x14ac:dyDescent="0.25">
      <c r="H54" t="s">
        <v>79</v>
      </c>
    </row>
    <row r="55" spans="8:8" x14ac:dyDescent="0.25">
      <c r="H55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400EC-2FBA-4EB7-B5F3-10171A267EE5}">
  <dimension ref="B3:M57"/>
  <sheetViews>
    <sheetView topLeftCell="B1" workbookViewId="0">
      <selection activeCell="M56" sqref="M56"/>
    </sheetView>
  </sheetViews>
  <sheetFormatPr baseColWidth="10" defaultRowHeight="15" x14ac:dyDescent="0.25"/>
  <sheetData>
    <row r="3" spans="2:12" x14ac:dyDescent="0.25">
      <c r="B3" t="s">
        <v>80</v>
      </c>
    </row>
    <row r="6" spans="2:12" x14ac:dyDescent="0.25">
      <c r="L6" t="s">
        <v>81</v>
      </c>
    </row>
    <row r="7" spans="2:12" x14ac:dyDescent="0.25">
      <c r="L7" t="s">
        <v>82</v>
      </c>
    </row>
    <row r="9" spans="2:12" x14ac:dyDescent="0.25">
      <c r="L9" t="s">
        <v>83</v>
      </c>
    </row>
    <row r="27" spans="12:12" x14ac:dyDescent="0.25">
      <c r="L27" t="s">
        <v>84</v>
      </c>
    </row>
    <row r="28" spans="12:12" x14ac:dyDescent="0.25">
      <c r="L28" t="s">
        <v>85</v>
      </c>
    </row>
    <row r="29" spans="12:12" x14ac:dyDescent="0.25">
      <c r="L29" t="s">
        <v>86</v>
      </c>
    </row>
    <row r="34" spans="12:12" x14ac:dyDescent="0.25">
      <c r="L34" t="s">
        <v>91</v>
      </c>
    </row>
    <row r="50" spans="13:13" x14ac:dyDescent="0.25">
      <c r="M50" t="s">
        <v>87</v>
      </c>
    </row>
    <row r="51" spans="13:13" x14ac:dyDescent="0.25">
      <c r="M51" t="s">
        <v>88</v>
      </c>
    </row>
    <row r="52" spans="13:13" x14ac:dyDescent="0.25">
      <c r="M52" t="s">
        <v>89</v>
      </c>
    </row>
    <row r="54" spans="13:13" x14ac:dyDescent="0.25">
      <c r="M54" t="s">
        <v>90</v>
      </c>
    </row>
    <row r="55" spans="13:13" x14ac:dyDescent="0.25">
      <c r="M55" t="s">
        <v>93</v>
      </c>
    </row>
    <row r="57" spans="13:13" x14ac:dyDescent="0.25">
      <c r="M57" t="s">
        <v>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Tema 1</vt:lpstr>
      <vt:lpstr>Tema 2</vt:lpstr>
      <vt:lpstr>Tema 3</vt:lpstr>
      <vt:lpstr>Tema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gill quintana</dc:creator>
  <cp:lastModifiedBy>elias gill quintana</cp:lastModifiedBy>
  <dcterms:created xsi:type="dcterms:W3CDTF">2024-11-07T20:54:01Z</dcterms:created>
  <dcterms:modified xsi:type="dcterms:W3CDTF">2024-11-07T23:15:35Z</dcterms:modified>
</cp:coreProperties>
</file>