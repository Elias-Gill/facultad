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dres Moises\Desktop\io2\21-10-24\"/>
    </mc:Choice>
  </mc:AlternateContent>
  <xr:revisionPtr revIDLastSave="0" documentId="13_ncr:1_{F59F3CB3-4B76-4AFF-8C99-C59E661FE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2" i="1" l="1"/>
  <c r="J96" i="1"/>
  <c r="E47" i="1"/>
  <c r="H39" i="1"/>
  <c r="G26" i="1"/>
  <c r="I3" i="1"/>
</calcChain>
</file>

<file path=xl/sharedStrings.xml><?xml version="1.0" encoding="utf-8"?>
<sst xmlns="http://schemas.openxmlformats.org/spreadsheetml/2006/main" count="196" uniqueCount="88">
  <si>
    <t>ejemplo distribuidora de bebidas</t>
  </si>
  <si>
    <t>Parameter</t>
  </si>
  <si>
    <t>Value</t>
  </si>
  <si>
    <t>Demand rate(D)</t>
  </si>
  <si>
    <t>Optimal order quantity (Q*)</t>
  </si>
  <si>
    <t>Setup/ordering cost(S)</t>
  </si>
  <si>
    <t>Maximum Inventory Level (Imax)</t>
  </si>
  <si>
    <t>Holding/carrying cost(H)</t>
  </si>
  <si>
    <t>Average inventory</t>
  </si>
  <si>
    <t>Unit cost</t>
  </si>
  <si>
    <t>Orders per period (N)</t>
  </si>
  <si>
    <t>Days per year (D/d)</t>
  </si>
  <si>
    <t>Annual Setup cost</t>
  </si>
  <si>
    <t>Daily demand rate</t>
  </si>
  <si>
    <t>Annual Holding cost</t>
  </si>
  <si>
    <t>Lead time (in days)</t>
  </si>
  <si>
    <t>Total Inventory (Holding + Setup) Cost</t>
  </si>
  <si>
    <t>Unit costs (PD)</t>
  </si>
  <si>
    <t>Total Cost (including units)</t>
  </si>
  <si>
    <t>Reorder point</t>
  </si>
  <si>
    <t>832 units</t>
  </si>
  <si>
    <t>a) la politica optima de este modelo de inventario es pedir Q=1824 cajas</t>
  </si>
  <si>
    <t>tiempo del ciclo</t>
  </si>
  <si>
    <t>T</t>
  </si>
  <si>
    <t>costo operativo del inventario por año</t>
  </si>
  <si>
    <t>costo de la mercancia</t>
  </si>
  <si>
    <t>costo operativo + costo de la mercancia</t>
  </si>
  <si>
    <t>b) el costode la politica de inventario es: 3648,56$ por año</t>
  </si>
  <si>
    <t>c) El punto de reorden es 832 cajas</t>
  </si>
  <si>
    <t>la politica optima de este modelo de inventario es pedir Q=1824 cajas cada vez que el inventario baje de 832 cajas</t>
  </si>
  <si>
    <t>modelo EOQ con faltantes planeados</t>
  </si>
  <si>
    <t>punto de reorden es con dias de espera</t>
  </si>
  <si>
    <t>carrying cost es costo unitario * tasa de retencion del costo unitario</t>
  </si>
  <si>
    <t>carrying cost = 5000 * 0,2</t>
  </si>
  <si>
    <t>carrying cost = 1000</t>
  </si>
  <si>
    <t>tiempo de ciclo</t>
  </si>
  <si>
    <t>a) la politica optima de un modelo EOQ sin faltantes es pedir Q=10 unidades cada 1,25 dias</t>
  </si>
  <si>
    <t>b) el costo operativo del modelo EOQ sin faltantes es $100000</t>
  </si>
  <si>
    <t>Maximum Inventory Shortage (B)</t>
  </si>
  <si>
    <t>Backorder cost(B)</t>
  </si>
  <si>
    <t>Annual Shortage cost</t>
  </si>
  <si>
    <t>c) la politicia optima de inventario con ordenes pendientes es pedir Q=59 unidades cada 7.32 dias</t>
  </si>
  <si>
    <t>costo anaul por ordenar</t>
  </si>
  <si>
    <t>costo annual de retencion</t>
  </si>
  <si>
    <t>costo annual por ordenes pendientes</t>
  </si>
  <si>
    <t xml:space="preserve">costo operativo del inventario </t>
  </si>
  <si>
    <t>d)el costo operatitvo de esta politica es 1706,64$</t>
  </si>
  <si>
    <t xml:space="preserve">e) es mas conveniente la politica de inventario con pedidos en espera </t>
  </si>
  <si>
    <t>la cantidad optima de pedidos en espera</t>
  </si>
  <si>
    <t>enunciado de la clase anterior(esa foto que dice ejemplo)</t>
  </si>
  <si>
    <t>haciendo que la tasa de retencion sea del 5%</t>
  </si>
  <si>
    <t>haciendo que la tasa de retencion sea del 5% y el costo de espera 30</t>
  </si>
  <si>
    <t>comparar este</t>
  </si>
  <si>
    <t>sumas los anuales</t>
  </si>
  <si>
    <t>0 a 999</t>
  </si>
  <si>
    <t>1000 a 2499</t>
  </si>
  <si>
    <t>2500 o mas</t>
  </si>
  <si>
    <t>tamaño de pedido</t>
  </si>
  <si>
    <t>descuento</t>
  </si>
  <si>
    <t>precio unitario</t>
  </si>
  <si>
    <t>5$</t>
  </si>
  <si>
    <t>3 - modelo de inventario con decuentos por cantidad</t>
  </si>
  <si>
    <t>4,85$</t>
  </si>
  <si>
    <t>4,75$</t>
  </si>
  <si>
    <t>se sabe que</t>
  </si>
  <si>
    <t>la tasa de retencion annual es del 20% del costo unitario sin descuento</t>
  </si>
  <si>
    <t>el costo por pedido es de 49$</t>
  </si>
  <si>
    <t>la demanda annual es de 5000 unidades</t>
  </si>
  <si>
    <t>xxxxxxx</t>
  </si>
  <si>
    <t>From</t>
  </si>
  <si>
    <t>To</t>
  </si>
  <si>
    <t>Price</t>
  </si>
  <si>
    <t>T=</t>
  </si>
  <si>
    <t>a) la politica optima de inventario con descuentos por cantidad es pedir Q=1000 unidades cada 50 dias</t>
  </si>
  <si>
    <t>b) el costo optimo de la politica es 24995$</t>
  </si>
  <si>
    <t>4- modelo de inventario "lote economico de produccion"</t>
  </si>
  <si>
    <t>Optimal production quantity (Q*)</t>
  </si>
  <si>
    <t>Daily production rate(p)</t>
  </si>
  <si>
    <t>Production runs per period (year)</t>
  </si>
  <si>
    <t>daily production rate y daily demand rate convertir a diario diviendo con la cantidad de dias habiles que es 250</t>
  </si>
  <si>
    <t>a) producir 3451 cajas cada 33 dias</t>
  </si>
  <si>
    <t>costo operativo</t>
  </si>
  <si>
    <t>costo de productos fabricados</t>
  </si>
  <si>
    <t>b)  el costo operativo de produccion es de 2034 anual</t>
  </si>
  <si>
    <t xml:space="preserve">c) punto de reorden </t>
  </si>
  <si>
    <t>r=</t>
  </si>
  <si>
    <t>5*104</t>
  </si>
  <si>
    <t>iniciar una fase de produccion cada vez que el inventario baje a 520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</si>
</sst>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topLeftCell="A104" workbookViewId="0">
      <selection activeCell="D110" sqref="D110"/>
    </sheetView>
  </sheetViews>
  <sheetFormatPr baseColWidth="10" defaultColWidth="8.88671875" defaultRowHeight="14.4" x14ac:dyDescent="0.3"/>
  <cols>
    <col min="1" max="1" width="28.44140625" customWidth="1"/>
    <col min="2" max="2" width="16.77734375" customWidth="1"/>
    <col min="3" max="3" width="14.88671875" customWidth="1"/>
    <col min="4" max="4" width="49.44140625" customWidth="1"/>
    <col min="5" max="5" width="17.33203125" customWidth="1"/>
    <col min="6" max="6" width="36.6640625" customWidth="1"/>
    <col min="7" max="7" width="24.21875" customWidth="1"/>
  </cols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D2" t="s">
        <v>1</v>
      </c>
      <c r="E2" t="s">
        <v>2</v>
      </c>
      <c r="H2" t="s">
        <v>22</v>
      </c>
    </row>
    <row r="3" spans="1:9" x14ac:dyDescent="0.3">
      <c r="A3" t="s">
        <v>3</v>
      </c>
      <c r="B3">
        <v>104000</v>
      </c>
      <c r="D3" t="s">
        <v>4</v>
      </c>
      <c r="E3">
        <v>1824.28</v>
      </c>
      <c r="H3" t="s">
        <v>23</v>
      </c>
      <c r="I3">
        <f>B7*(E3/B3)</f>
        <v>4.3852884615384617</v>
      </c>
    </row>
    <row r="4" spans="1:9" x14ac:dyDescent="0.3">
      <c r="A4" t="s">
        <v>5</v>
      </c>
      <c r="B4">
        <v>32</v>
      </c>
      <c r="D4" t="s">
        <v>6</v>
      </c>
      <c r="E4">
        <v>1824.28</v>
      </c>
    </row>
    <row r="5" spans="1:9" x14ac:dyDescent="0.3">
      <c r="A5" t="s">
        <v>7</v>
      </c>
      <c r="B5">
        <v>2</v>
      </c>
      <c r="D5" t="s">
        <v>8</v>
      </c>
      <c r="E5">
        <v>912.14</v>
      </c>
    </row>
    <row r="6" spans="1:9" x14ac:dyDescent="0.3">
      <c r="A6" t="s">
        <v>9</v>
      </c>
      <c r="B6">
        <v>8</v>
      </c>
      <c r="D6" t="s">
        <v>10</v>
      </c>
      <c r="E6">
        <v>57.01</v>
      </c>
    </row>
    <row r="7" spans="1:9" x14ac:dyDescent="0.3">
      <c r="A7" t="s">
        <v>11</v>
      </c>
      <c r="B7">
        <v>250</v>
      </c>
      <c r="D7" t="s">
        <v>12</v>
      </c>
      <c r="E7">
        <v>1824.28</v>
      </c>
    </row>
    <row r="8" spans="1:9" x14ac:dyDescent="0.3">
      <c r="A8" t="s">
        <v>13</v>
      </c>
      <c r="B8">
        <v>416</v>
      </c>
      <c r="D8" t="s">
        <v>14</v>
      </c>
      <c r="E8">
        <v>1824.28</v>
      </c>
    </row>
    <row r="9" spans="1:9" x14ac:dyDescent="0.3">
      <c r="A9" t="s">
        <v>15</v>
      </c>
      <c r="B9">
        <v>2</v>
      </c>
      <c r="D9" t="s">
        <v>16</v>
      </c>
      <c r="E9" s="1">
        <v>3648.56</v>
      </c>
      <c r="F9" t="s">
        <v>24</v>
      </c>
    </row>
    <row r="10" spans="1:9" x14ac:dyDescent="0.3">
      <c r="D10" t="s">
        <v>17</v>
      </c>
      <c r="E10" s="1">
        <v>832000</v>
      </c>
      <c r="F10" t="s">
        <v>25</v>
      </c>
    </row>
    <row r="11" spans="1:9" x14ac:dyDescent="0.3">
      <c r="D11" t="s">
        <v>18</v>
      </c>
      <c r="E11" s="1">
        <v>835648.6</v>
      </c>
      <c r="F11" t="s">
        <v>26</v>
      </c>
    </row>
    <row r="13" spans="1:9" x14ac:dyDescent="0.3">
      <c r="D13" t="s">
        <v>19</v>
      </c>
      <c r="E13" t="s">
        <v>20</v>
      </c>
    </row>
    <row r="15" spans="1:9" x14ac:dyDescent="0.3">
      <c r="A15" t="s">
        <v>21</v>
      </c>
    </row>
    <row r="16" spans="1:9" x14ac:dyDescent="0.3">
      <c r="A16" t="s">
        <v>27</v>
      </c>
    </row>
    <row r="17" spans="1:11" x14ac:dyDescent="0.3">
      <c r="A17" t="s">
        <v>28</v>
      </c>
    </row>
    <row r="18" spans="1:11" x14ac:dyDescent="0.3">
      <c r="A18" t="s">
        <v>29</v>
      </c>
    </row>
    <row r="21" spans="1:11" x14ac:dyDescent="0.3">
      <c r="A21" t="s">
        <v>49</v>
      </c>
    </row>
    <row r="22" spans="1:11" x14ac:dyDescent="0.3">
      <c r="A22" t="s">
        <v>30</v>
      </c>
      <c r="C22" t="s">
        <v>31</v>
      </c>
      <c r="E22" t="s">
        <v>32</v>
      </c>
      <c r="K22" t="s">
        <v>33</v>
      </c>
    </row>
    <row r="23" spans="1:11" x14ac:dyDescent="0.3">
      <c r="K23" t="s">
        <v>34</v>
      </c>
    </row>
    <row r="24" spans="1:11" x14ac:dyDescent="0.3">
      <c r="A24" t="s">
        <v>1</v>
      </c>
      <c r="B24" t="s">
        <v>2</v>
      </c>
      <c r="D24" t="s">
        <v>1</v>
      </c>
      <c r="E24" t="s">
        <v>2</v>
      </c>
    </row>
    <row r="25" spans="1:11" x14ac:dyDescent="0.3">
      <c r="A25" t="s">
        <v>3</v>
      </c>
      <c r="B25">
        <v>2000</v>
      </c>
      <c r="D25" t="s">
        <v>4</v>
      </c>
      <c r="E25">
        <v>10</v>
      </c>
      <c r="G25" t="s">
        <v>35</v>
      </c>
    </row>
    <row r="26" spans="1:11" x14ac:dyDescent="0.3">
      <c r="A26" t="s">
        <v>5</v>
      </c>
      <c r="B26">
        <v>25</v>
      </c>
      <c r="D26" t="s">
        <v>6</v>
      </c>
      <c r="E26">
        <v>10</v>
      </c>
      <c r="G26">
        <f>250*(E25/B25)</f>
        <v>1.25</v>
      </c>
    </row>
    <row r="27" spans="1:11" x14ac:dyDescent="0.3">
      <c r="A27" t="s">
        <v>7</v>
      </c>
      <c r="B27">
        <v>1000</v>
      </c>
      <c r="D27" t="s">
        <v>8</v>
      </c>
      <c r="E27">
        <v>5</v>
      </c>
    </row>
    <row r="28" spans="1:11" x14ac:dyDescent="0.3">
      <c r="A28" t="s">
        <v>9</v>
      </c>
      <c r="B28">
        <v>5000</v>
      </c>
      <c r="D28" t="s">
        <v>10</v>
      </c>
      <c r="E28">
        <v>200</v>
      </c>
    </row>
    <row r="29" spans="1:11" x14ac:dyDescent="0.3">
      <c r="D29" t="s">
        <v>12</v>
      </c>
      <c r="E29">
        <v>5000</v>
      </c>
    </row>
    <row r="30" spans="1:11" x14ac:dyDescent="0.3">
      <c r="D30" t="s">
        <v>14</v>
      </c>
      <c r="E30">
        <v>5000</v>
      </c>
    </row>
    <row r="31" spans="1:11" x14ac:dyDescent="0.3">
      <c r="D31" t="s">
        <v>16</v>
      </c>
      <c r="E31">
        <v>10000</v>
      </c>
    </row>
    <row r="32" spans="1:11" x14ac:dyDescent="0.3">
      <c r="D32" t="s">
        <v>17</v>
      </c>
      <c r="E32">
        <v>10000000</v>
      </c>
    </row>
    <row r="33" spans="1:8" x14ac:dyDescent="0.3">
      <c r="D33" t="s">
        <v>18</v>
      </c>
      <c r="E33">
        <v>10010000</v>
      </c>
    </row>
    <row r="34" spans="1:8" x14ac:dyDescent="0.3">
      <c r="A34" t="s">
        <v>36</v>
      </c>
    </row>
    <row r="35" spans="1:8" x14ac:dyDescent="0.3">
      <c r="A35" t="s">
        <v>37</v>
      </c>
    </row>
    <row r="37" spans="1:8" x14ac:dyDescent="0.3">
      <c r="A37" t="s">
        <v>1</v>
      </c>
      <c r="B37" t="s">
        <v>2</v>
      </c>
      <c r="D37" t="s">
        <v>1</v>
      </c>
      <c r="E37" t="s">
        <v>2</v>
      </c>
    </row>
    <row r="38" spans="1:8" x14ac:dyDescent="0.3">
      <c r="A38" t="s">
        <v>3</v>
      </c>
      <c r="B38">
        <v>2000</v>
      </c>
      <c r="D38" t="s">
        <v>4</v>
      </c>
      <c r="E38">
        <v>58.59</v>
      </c>
    </row>
    <row r="39" spans="1:8" x14ac:dyDescent="0.3">
      <c r="A39" t="s">
        <v>5</v>
      </c>
      <c r="B39">
        <v>25</v>
      </c>
      <c r="D39" t="s">
        <v>6</v>
      </c>
      <c r="E39">
        <v>1.71</v>
      </c>
      <c r="H39">
        <f>250*E38/B38</f>
        <v>7.3237500000000004</v>
      </c>
    </row>
    <row r="40" spans="1:8" x14ac:dyDescent="0.3">
      <c r="A40" t="s">
        <v>7</v>
      </c>
      <c r="B40">
        <v>1000</v>
      </c>
      <c r="D40" t="s">
        <v>38</v>
      </c>
      <c r="E40" s="2">
        <v>56.89</v>
      </c>
      <c r="F40" t="s">
        <v>48</v>
      </c>
    </row>
    <row r="41" spans="1:8" x14ac:dyDescent="0.3">
      <c r="A41" t="s">
        <v>39</v>
      </c>
      <c r="B41">
        <v>30</v>
      </c>
      <c r="D41" t="s">
        <v>10</v>
      </c>
      <c r="E41">
        <v>34.130000000000003</v>
      </c>
    </row>
    <row r="42" spans="1:8" x14ac:dyDescent="0.3">
      <c r="A42" t="s">
        <v>9</v>
      </c>
      <c r="B42">
        <v>5000</v>
      </c>
      <c r="D42" t="s">
        <v>12</v>
      </c>
      <c r="E42" s="2">
        <v>853.32</v>
      </c>
      <c r="F42" t="s">
        <v>42</v>
      </c>
    </row>
    <row r="43" spans="1:8" x14ac:dyDescent="0.3">
      <c r="D43" t="s">
        <v>14</v>
      </c>
      <c r="E43" s="2">
        <v>24.85</v>
      </c>
      <c r="F43" t="s">
        <v>43</v>
      </c>
    </row>
    <row r="44" spans="1:8" x14ac:dyDescent="0.3">
      <c r="D44" t="s">
        <v>40</v>
      </c>
      <c r="E44" s="2">
        <v>828.47</v>
      </c>
      <c r="F44" t="s">
        <v>44</v>
      </c>
    </row>
    <row r="45" spans="1:8" x14ac:dyDescent="0.3">
      <c r="D45" t="s">
        <v>17</v>
      </c>
      <c r="E45">
        <v>10000000</v>
      </c>
    </row>
    <row r="46" spans="1:8" x14ac:dyDescent="0.3">
      <c r="D46" t="s">
        <v>18</v>
      </c>
      <c r="E46">
        <v>10001710</v>
      </c>
    </row>
    <row r="47" spans="1:8" x14ac:dyDescent="0.3">
      <c r="D47" t="s">
        <v>45</v>
      </c>
      <c r="E47">
        <f>SUM(E42:E44)</f>
        <v>1706.64</v>
      </c>
    </row>
    <row r="49" spans="1:6" x14ac:dyDescent="0.3">
      <c r="A49" t="s">
        <v>41</v>
      </c>
    </row>
    <row r="50" spans="1:6" x14ac:dyDescent="0.3">
      <c r="A50" t="s">
        <v>46</v>
      </c>
    </row>
    <row r="51" spans="1:6" x14ac:dyDescent="0.3">
      <c r="A51" t="s">
        <v>47</v>
      </c>
    </row>
    <row r="54" spans="1:6" x14ac:dyDescent="0.3">
      <c r="A54" t="s">
        <v>50</v>
      </c>
    </row>
    <row r="55" spans="1:6" x14ac:dyDescent="0.3">
      <c r="A55" t="s">
        <v>1</v>
      </c>
      <c r="B55" t="s">
        <v>2</v>
      </c>
      <c r="D55" t="s">
        <v>1</v>
      </c>
      <c r="E55" t="s">
        <v>2</v>
      </c>
    </row>
    <row r="56" spans="1:6" x14ac:dyDescent="0.3">
      <c r="A56" t="s">
        <v>3</v>
      </c>
      <c r="B56">
        <v>2000</v>
      </c>
      <c r="D56" t="s">
        <v>4</v>
      </c>
      <c r="E56">
        <v>20</v>
      </c>
    </row>
    <row r="57" spans="1:6" x14ac:dyDescent="0.3">
      <c r="A57" t="s">
        <v>5</v>
      </c>
      <c r="B57">
        <v>25</v>
      </c>
      <c r="D57" t="s">
        <v>6</v>
      </c>
      <c r="E57">
        <v>20</v>
      </c>
    </row>
    <row r="58" spans="1:6" x14ac:dyDescent="0.3">
      <c r="A58" t="s">
        <v>7</v>
      </c>
      <c r="B58">
        <v>250</v>
      </c>
      <c r="D58" t="s">
        <v>8</v>
      </c>
      <c r="E58">
        <v>10</v>
      </c>
    </row>
    <row r="59" spans="1:6" x14ac:dyDescent="0.3">
      <c r="A59" t="s">
        <v>9</v>
      </c>
      <c r="B59">
        <v>5000</v>
      </c>
      <c r="D59" t="s">
        <v>10</v>
      </c>
      <c r="E59">
        <v>100</v>
      </c>
    </row>
    <row r="60" spans="1:6" x14ac:dyDescent="0.3">
      <c r="D60" t="s">
        <v>12</v>
      </c>
      <c r="E60">
        <v>2500</v>
      </c>
    </row>
    <row r="61" spans="1:6" x14ac:dyDescent="0.3">
      <c r="D61" t="s">
        <v>14</v>
      </c>
      <c r="E61">
        <v>2500</v>
      </c>
    </row>
    <row r="62" spans="1:6" x14ac:dyDescent="0.3">
      <c r="D62" t="s">
        <v>16</v>
      </c>
      <c r="E62">
        <v>5000</v>
      </c>
      <c r="F62" t="s">
        <v>52</v>
      </c>
    </row>
    <row r="63" spans="1:6" x14ac:dyDescent="0.3">
      <c r="D63" t="s">
        <v>17</v>
      </c>
      <c r="E63">
        <v>10000000</v>
      </c>
    </row>
    <row r="64" spans="1:6" x14ac:dyDescent="0.3">
      <c r="D64" t="s">
        <v>18</v>
      </c>
      <c r="E64">
        <v>10005000</v>
      </c>
    </row>
    <row r="71" spans="1:6" x14ac:dyDescent="0.3">
      <c r="A71" t="s">
        <v>51</v>
      </c>
    </row>
    <row r="73" spans="1:6" x14ac:dyDescent="0.3">
      <c r="A73" t="s">
        <v>1</v>
      </c>
      <c r="B73" t="s">
        <v>2</v>
      </c>
      <c r="D73" t="s">
        <v>1</v>
      </c>
      <c r="E73" t="s">
        <v>2</v>
      </c>
    </row>
    <row r="74" spans="1:6" x14ac:dyDescent="0.3">
      <c r="A74" t="s">
        <v>3</v>
      </c>
      <c r="B74">
        <v>2000</v>
      </c>
      <c r="D74" t="s">
        <v>4</v>
      </c>
      <c r="E74">
        <v>61.1</v>
      </c>
    </row>
    <row r="75" spans="1:6" x14ac:dyDescent="0.3">
      <c r="A75" t="s">
        <v>5</v>
      </c>
      <c r="B75">
        <v>25</v>
      </c>
      <c r="D75" t="s">
        <v>6</v>
      </c>
      <c r="E75">
        <v>6.55</v>
      </c>
    </row>
    <row r="76" spans="1:6" x14ac:dyDescent="0.3">
      <c r="A76" t="s">
        <v>7</v>
      </c>
      <c r="B76">
        <v>250</v>
      </c>
      <c r="D76" t="s">
        <v>38</v>
      </c>
      <c r="E76">
        <v>54.55</v>
      </c>
    </row>
    <row r="77" spans="1:6" x14ac:dyDescent="0.3">
      <c r="A77" t="s">
        <v>39</v>
      </c>
      <c r="B77">
        <v>30</v>
      </c>
      <c r="D77" t="s">
        <v>10</v>
      </c>
      <c r="E77">
        <v>32.729999999999997</v>
      </c>
    </row>
    <row r="78" spans="1:6" x14ac:dyDescent="0.3">
      <c r="A78" t="s">
        <v>9</v>
      </c>
      <c r="B78">
        <v>5000</v>
      </c>
      <c r="D78" t="s">
        <v>12</v>
      </c>
      <c r="E78">
        <v>818.32</v>
      </c>
      <c r="F78" t="s">
        <v>53</v>
      </c>
    </row>
    <row r="79" spans="1:6" x14ac:dyDescent="0.3">
      <c r="D79" t="s">
        <v>14</v>
      </c>
      <c r="E79">
        <v>87.68</v>
      </c>
    </row>
    <row r="80" spans="1:6" x14ac:dyDescent="0.3">
      <c r="D80" t="s">
        <v>40</v>
      </c>
      <c r="E80">
        <v>730.64</v>
      </c>
    </row>
    <row r="81" spans="1:10" x14ac:dyDescent="0.3">
      <c r="D81" t="s">
        <v>17</v>
      </c>
      <c r="E81">
        <v>10000000</v>
      </c>
    </row>
    <row r="82" spans="1:10" x14ac:dyDescent="0.3">
      <c r="D82" t="s">
        <v>18</v>
      </c>
      <c r="E82">
        <v>10001640</v>
      </c>
    </row>
    <row r="84" spans="1:10" x14ac:dyDescent="0.3">
      <c r="A84" t="s">
        <v>61</v>
      </c>
    </row>
    <row r="85" spans="1:10" x14ac:dyDescent="0.3">
      <c r="A85" t="s">
        <v>57</v>
      </c>
      <c r="B85" t="s">
        <v>58</v>
      </c>
      <c r="C85" t="s">
        <v>59</v>
      </c>
    </row>
    <row r="86" spans="1:10" x14ac:dyDescent="0.3">
      <c r="A86" t="s">
        <v>54</v>
      </c>
      <c r="B86" s="3">
        <v>0</v>
      </c>
      <c r="C86" t="s">
        <v>60</v>
      </c>
    </row>
    <row r="87" spans="1:10" x14ac:dyDescent="0.3">
      <c r="A87" t="s">
        <v>55</v>
      </c>
      <c r="B87" s="3">
        <v>0.03</v>
      </c>
      <c r="C87" t="s">
        <v>62</v>
      </c>
    </row>
    <row r="88" spans="1:10" x14ac:dyDescent="0.3">
      <c r="A88" t="s">
        <v>56</v>
      </c>
      <c r="B88" s="3">
        <v>0.05</v>
      </c>
      <c r="C88" t="s">
        <v>63</v>
      </c>
    </row>
    <row r="90" spans="1:10" x14ac:dyDescent="0.3">
      <c r="A90" t="s">
        <v>64</v>
      </c>
    </row>
    <row r="91" spans="1:10" x14ac:dyDescent="0.3">
      <c r="A91" t="s">
        <v>65</v>
      </c>
    </row>
    <row r="92" spans="1:10" x14ac:dyDescent="0.3">
      <c r="A92" t="s">
        <v>66</v>
      </c>
    </row>
    <row r="93" spans="1:10" x14ac:dyDescent="0.3">
      <c r="A93" t="s">
        <v>67</v>
      </c>
    </row>
    <row r="95" spans="1:10" x14ac:dyDescent="0.3">
      <c r="A95" t="s">
        <v>1</v>
      </c>
      <c r="B95" t="s">
        <v>2</v>
      </c>
      <c r="F95" t="s">
        <v>1</v>
      </c>
      <c r="G95" t="s">
        <v>2</v>
      </c>
      <c r="J95" t="s">
        <v>35</v>
      </c>
    </row>
    <row r="96" spans="1:10" x14ac:dyDescent="0.3">
      <c r="A96" t="s">
        <v>3</v>
      </c>
      <c r="B96">
        <v>5000</v>
      </c>
      <c r="C96" t="s">
        <v>68</v>
      </c>
      <c r="D96" t="s">
        <v>68</v>
      </c>
      <c r="F96" t="s">
        <v>4</v>
      </c>
      <c r="G96">
        <v>1000</v>
      </c>
      <c r="I96" t="s">
        <v>72</v>
      </c>
      <c r="J96">
        <f>250*G96/B96</f>
        <v>50</v>
      </c>
    </row>
    <row r="97" spans="1:7" x14ac:dyDescent="0.3">
      <c r="A97" t="s">
        <v>5</v>
      </c>
      <c r="B97">
        <v>49</v>
      </c>
      <c r="C97" t="s">
        <v>68</v>
      </c>
      <c r="D97" t="s">
        <v>68</v>
      </c>
      <c r="F97" t="s">
        <v>6</v>
      </c>
      <c r="G97">
        <v>1000</v>
      </c>
    </row>
    <row r="98" spans="1:7" x14ac:dyDescent="0.3">
      <c r="A98" t="s">
        <v>7</v>
      </c>
      <c r="B98">
        <v>1</v>
      </c>
      <c r="C98" t="s">
        <v>68</v>
      </c>
      <c r="D98" t="s">
        <v>68</v>
      </c>
      <c r="F98" t="s">
        <v>8</v>
      </c>
      <c r="G98">
        <v>500</v>
      </c>
    </row>
    <row r="99" spans="1:7" x14ac:dyDescent="0.3">
      <c r="F99" t="s">
        <v>10</v>
      </c>
      <c r="G99">
        <v>5</v>
      </c>
    </row>
    <row r="100" spans="1:7" x14ac:dyDescent="0.3">
      <c r="B100" t="s">
        <v>69</v>
      </c>
      <c r="C100" t="s">
        <v>70</v>
      </c>
      <c r="D100" t="s">
        <v>71</v>
      </c>
      <c r="F100" t="s">
        <v>12</v>
      </c>
      <c r="G100">
        <v>245</v>
      </c>
    </row>
    <row r="101" spans="1:7" x14ac:dyDescent="0.3">
      <c r="A101">
        <v>1</v>
      </c>
      <c r="B101">
        <v>1</v>
      </c>
      <c r="C101">
        <v>999</v>
      </c>
      <c r="D101">
        <v>5</v>
      </c>
      <c r="F101" t="s">
        <v>14</v>
      </c>
      <c r="G101">
        <v>500</v>
      </c>
    </row>
    <row r="102" spans="1:7" x14ac:dyDescent="0.3">
      <c r="A102">
        <v>2</v>
      </c>
      <c r="B102">
        <v>1000</v>
      </c>
      <c r="C102">
        <v>2499</v>
      </c>
      <c r="D102">
        <v>4.8499999999999996</v>
      </c>
    </row>
    <row r="103" spans="1:7" x14ac:dyDescent="0.3">
      <c r="A103">
        <v>3</v>
      </c>
      <c r="B103">
        <v>2500</v>
      </c>
      <c r="C103">
        <v>999999</v>
      </c>
      <c r="D103">
        <v>4.75</v>
      </c>
      <c r="F103" t="s">
        <v>17</v>
      </c>
      <c r="G103">
        <v>24250</v>
      </c>
    </row>
    <row r="104" spans="1:7" x14ac:dyDescent="0.3">
      <c r="F104" t="s">
        <v>18</v>
      </c>
      <c r="G104">
        <v>24995</v>
      </c>
    </row>
    <row r="106" spans="1:7" x14ac:dyDescent="0.3">
      <c r="A106" t="s">
        <v>73</v>
      </c>
    </row>
    <row r="107" spans="1:7" x14ac:dyDescent="0.3">
      <c r="A107" t="s">
        <v>74</v>
      </c>
    </row>
    <row r="110" spans="1:7" x14ac:dyDescent="0.3">
      <c r="A110" t="s">
        <v>75</v>
      </c>
    </row>
    <row r="111" spans="1:7" x14ac:dyDescent="0.3">
      <c r="A111" t="s">
        <v>1</v>
      </c>
      <c r="B111" t="s">
        <v>2</v>
      </c>
      <c r="D111" t="s">
        <v>1</v>
      </c>
      <c r="E111" t="s">
        <v>2</v>
      </c>
      <c r="G111" t="s">
        <v>35</v>
      </c>
    </row>
    <row r="112" spans="1:7" x14ac:dyDescent="0.3">
      <c r="A112" t="s">
        <v>3</v>
      </c>
      <c r="B112">
        <v>26000</v>
      </c>
      <c r="D112" t="s">
        <v>76</v>
      </c>
      <c r="E112">
        <v>3451.34</v>
      </c>
      <c r="G112">
        <f>250*E112/B112</f>
        <v>33.185961538461541</v>
      </c>
    </row>
    <row r="113" spans="1:6" x14ac:dyDescent="0.3">
      <c r="A113" t="s">
        <v>5</v>
      </c>
      <c r="B113">
        <v>135</v>
      </c>
      <c r="D113" t="s">
        <v>6</v>
      </c>
      <c r="E113">
        <v>1955.76</v>
      </c>
    </row>
    <row r="114" spans="1:6" x14ac:dyDescent="0.3">
      <c r="A114" t="s">
        <v>7</v>
      </c>
      <c r="B114">
        <v>1.04</v>
      </c>
      <c r="D114" t="s">
        <v>8</v>
      </c>
      <c r="E114">
        <v>977.88</v>
      </c>
    </row>
    <row r="115" spans="1:6" x14ac:dyDescent="0.3">
      <c r="A115" t="s">
        <v>77</v>
      </c>
      <c r="B115">
        <v>240</v>
      </c>
      <c r="D115" t="s">
        <v>78</v>
      </c>
      <c r="E115">
        <v>7.53</v>
      </c>
    </row>
    <row r="116" spans="1:6" x14ac:dyDescent="0.3">
      <c r="A116" t="s">
        <v>11</v>
      </c>
      <c r="B116">
        <v>250</v>
      </c>
      <c r="D116" t="s">
        <v>12</v>
      </c>
      <c r="E116">
        <v>1017</v>
      </c>
    </row>
    <row r="117" spans="1:6" x14ac:dyDescent="0.3">
      <c r="A117" t="s">
        <v>13</v>
      </c>
      <c r="B117">
        <v>104</v>
      </c>
      <c r="D117" t="s">
        <v>14</v>
      </c>
      <c r="E117">
        <v>1017</v>
      </c>
    </row>
    <row r="118" spans="1:6" x14ac:dyDescent="0.3">
      <c r="A118" t="s">
        <v>9</v>
      </c>
      <c r="B118">
        <v>4.5</v>
      </c>
      <c r="D118" t="s">
        <v>16</v>
      </c>
      <c r="E118">
        <v>2034</v>
      </c>
      <c r="F118" t="s">
        <v>81</v>
      </c>
    </row>
    <row r="119" spans="1:6" x14ac:dyDescent="0.3">
      <c r="D119" t="s">
        <v>17</v>
      </c>
      <c r="E119">
        <v>117000</v>
      </c>
      <c r="F119" t="s">
        <v>82</v>
      </c>
    </row>
    <row r="120" spans="1:6" x14ac:dyDescent="0.3">
      <c r="D120" t="s">
        <v>18</v>
      </c>
      <c r="E120">
        <v>119034</v>
      </c>
    </row>
    <row r="122" spans="1:6" x14ac:dyDescent="0.3">
      <c r="A122" t="s">
        <v>79</v>
      </c>
    </row>
    <row r="123" spans="1:6" x14ac:dyDescent="0.3">
      <c r="A123" t="s">
        <v>80</v>
      </c>
    </row>
    <row r="124" spans="1:6" x14ac:dyDescent="0.3">
      <c r="A124" t="s">
        <v>83</v>
      </c>
    </row>
    <row r="125" spans="1:6" x14ac:dyDescent="0.3">
      <c r="A125" t="s">
        <v>84</v>
      </c>
      <c r="B125" t="s">
        <v>85</v>
      </c>
      <c r="C125" t="s">
        <v>86</v>
      </c>
      <c r="D125">
        <v>520</v>
      </c>
      <c r="E12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Moises</dc:creator>
  <cp:lastModifiedBy>Andrés Román</cp:lastModifiedBy>
  <dcterms:created xsi:type="dcterms:W3CDTF">2015-06-05T18:17:20Z</dcterms:created>
  <dcterms:modified xsi:type="dcterms:W3CDTF">2024-10-21T21:45:20Z</dcterms:modified>
</cp:coreProperties>
</file>